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ssimiliano\Desktop\"/>
    </mc:Choice>
  </mc:AlternateContent>
  <xr:revisionPtr revIDLastSave="0" documentId="13_ncr:1_{E6B1680B-0CE1-4448-B40D-9228C31DBC1B}" xr6:coauthVersionLast="47" xr6:coauthVersionMax="47" xr10:uidLastSave="{00000000-0000-0000-0000-000000000000}"/>
  <bookViews>
    <workbookView xWindow="-120" yWindow="-120" windowWidth="29040" windowHeight="15840" activeTab="5" xr2:uid="{390DAAFF-35D7-4EC4-92A8-AE4E698A09F8}"/>
  </bookViews>
  <sheets>
    <sheet name="Parameters" sheetId="1" r:id="rId1"/>
    <sheet name="Data" sheetId="2" r:id="rId2"/>
    <sheet name="Sample" sheetId="3" r:id="rId3"/>
    <sheet name="Statistical insight" sheetId="4" r:id="rId4"/>
    <sheet name="(Un)correlated variables" sheetId="5" r:id="rId5"/>
    <sheet name="Linear regression" sheetId="9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9" l="1"/>
  <c r="C3" i="5"/>
  <c r="C4" i="5"/>
  <c r="C5" i="5"/>
  <c r="C6" i="5"/>
  <c r="H4" i="5" s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2" i="5"/>
  <c r="H2" i="5"/>
  <c r="A2" i="2" l="1"/>
  <c r="B5" i="4"/>
  <c r="B2" i="4"/>
  <c r="B1" i="4"/>
  <c r="B3" i="4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K2" i="4" l="1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" i="2"/>
  <c r="L2" i="4" l="1"/>
  <c r="B6" i="4" s="1"/>
</calcChain>
</file>

<file path=xl/sharedStrings.xml><?xml version="1.0" encoding="utf-8"?>
<sst xmlns="http://schemas.openxmlformats.org/spreadsheetml/2006/main" count="25" uniqueCount="23">
  <si>
    <t>Probability</t>
  </si>
  <si>
    <t>Mean</t>
  </si>
  <si>
    <t>StdDev</t>
  </si>
  <si>
    <t>Age</t>
  </si>
  <si>
    <t>Groups</t>
  </si>
  <si>
    <t>Sample data</t>
  </si>
  <si>
    <t>Data</t>
  </si>
  <si>
    <t>STDDEV</t>
  </si>
  <si>
    <t>EXPECTED VALUE</t>
  </si>
  <si>
    <t>COUNT</t>
  </si>
  <si>
    <t>CONFIDENCE RATE</t>
  </si>
  <si>
    <t>Estimation of p parameter</t>
  </si>
  <si>
    <t>Confidence interval</t>
  </si>
  <si>
    <t>Number of cats</t>
  </si>
  <si>
    <t>Age of partner</t>
  </si>
  <si>
    <t>Y (age)</t>
  </si>
  <si>
    <t>X (rank)</t>
  </si>
  <si>
    <t>Correlation age and cats</t>
  </si>
  <si>
    <t>Desired correlation ( r )</t>
  </si>
  <si>
    <t>Actual correlation ( r')</t>
  </si>
  <si>
    <r>
      <t>Linear Prediction 160</t>
    </r>
    <r>
      <rPr>
        <vertAlign val="superscript"/>
        <sz val="10"/>
        <color rgb="FF0070C0"/>
        <rFont val="Comic Sans MS"/>
        <family val="4"/>
      </rPr>
      <t>th</t>
    </r>
  </si>
  <si>
    <t>Il valore ottenuto indica la presenza di una correlazione debolmente positiva tra l'età dell'individuo e il numero di gatti.</t>
  </si>
  <si>
    <t xml:space="preserve">Il valore ottenuto indica una correlazione fortemente positiva fra l'età dell'individuo e l'età del partner.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</si>
</sst>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rgb="FF0070C0"/>
      <name val="Comic Sans MS"/>
      <family val="4"/>
    </font>
    <font>
      <sz val="12"/>
      <color theme="1"/>
      <name val="Helvetica"/>
      <family val="2"/>
    </font>
    <font>
      <sz val="12"/>
      <color theme="1"/>
      <name val="Comic Sans MS"/>
      <family val="4"/>
    </font>
    <font>
      <sz val="12"/>
      <color theme="1"/>
      <name val="Arial"/>
      <family val="2"/>
    </font>
    <font>
      <sz val="11"/>
      <color theme="0"/>
      <name val="Calibri"/>
      <family val="2"/>
      <scheme val="minor"/>
    </font>
    <font>
      <sz val="10"/>
      <color rgb="FF0070C0"/>
      <name val="Comic Sans MS"/>
      <family val="4"/>
    </font>
    <font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vertAlign val="superscript"/>
      <sz val="10"/>
      <color rgb="FF0070C0"/>
      <name val="Comic Sans MS"/>
      <family val="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0" fillId="0" borderId="0" xfId="0" applyNumberFormat="1"/>
    <xf numFmtId="1" fontId="3" fillId="0" borderId="1" xfId="0" applyNumberFormat="1" applyFont="1" applyBorder="1" applyAlignment="1">
      <alignment horizontal="center"/>
    </xf>
    <xf numFmtId="0" fontId="4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5" fillId="0" borderId="0" xfId="0" applyFont="1"/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0" xfId="0" applyFont="1"/>
    <xf numFmtId="0" fontId="8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/>
              <a:t>Scatter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8575" cap="rnd">
                <a:solidFill>
                  <a:srgbClr val="00B0F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40"/>
            <c:dispRSqr val="1"/>
            <c:dispEq val="1"/>
            <c:trendlineLbl>
              <c:layout>
                <c:manualLayout>
                  <c:x val="5.7449749046035198E-2"/>
                  <c:y val="0.147960773378869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'Linear regression'!$B$2:$B$131</c:f>
              <c:numCache>
                <c:formatCode>General</c:formatCode>
                <c:ptCount val="1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</c:numCache>
            </c:numRef>
          </c:xVal>
          <c:yVal>
            <c:numRef>
              <c:f>'Linear regression'!$A$2:$A$131</c:f>
              <c:numCache>
                <c:formatCode>0</c:formatCode>
                <c:ptCount val="130"/>
                <c:pt idx="0">
                  <c:v>31.143836717690618</c:v>
                </c:pt>
                <c:pt idx="1">
                  <c:v>32.45575507653593</c:v>
                </c:pt>
                <c:pt idx="2" formatCode="General">
                  <c:v>33</c:v>
                </c:pt>
                <c:pt idx="3">
                  <c:v>33.511918358845314</c:v>
                </c:pt>
                <c:pt idx="4">
                  <c:v>33.511918358845314</c:v>
                </c:pt>
                <c:pt idx="5" formatCode="General">
                  <c:v>34</c:v>
                </c:pt>
                <c:pt idx="6">
                  <c:v>34.551510153071852</c:v>
                </c:pt>
                <c:pt idx="7">
                  <c:v>34.687673435381235</c:v>
                </c:pt>
                <c:pt idx="8">
                  <c:v>34.823836717690618</c:v>
                </c:pt>
                <c:pt idx="9" formatCode="General">
                  <c:v>35</c:v>
                </c:pt>
                <c:pt idx="10">
                  <c:v>35.215755076535928</c:v>
                </c:pt>
                <c:pt idx="11">
                  <c:v>35.60767343538123</c:v>
                </c:pt>
                <c:pt idx="12">
                  <c:v>35.60767343538123</c:v>
                </c:pt>
                <c:pt idx="13">
                  <c:v>35.74383671769062</c:v>
                </c:pt>
                <c:pt idx="14">
                  <c:v>35.74383671769062</c:v>
                </c:pt>
                <c:pt idx="15">
                  <c:v>35.863428511917164</c:v>
                </c:pt>
                <c:pt idx="16" formatCode="General">
                  <c:v>36</c:v>
                </c:pt>
                <c:pt idx="17" formatCode="General">
                  <c:v>36</c:v>
                </c:pt>
                <c:pt idx="18" formatCode="General">
                  <c:v>36</c:v>
                </c:pt>
                <c:pt idx="19" formatCode="General">
                  <c:v>36</c:v>
                </c:pt>
                <c:pt idx="20" formatCode="General">
                  <c:v>37</c:v>
                </c:pt>
                <c:pt idx="21" formatCode="General">
                  <c:v>37</c:v>
                </c:pt>
                <c:pt idx="22" formatCode="General">
                  <c:v>37</c:v>
                </c:pt>
                <c:pt idx="23" formatCode="General">
                  <c:v>37</c:v>
                </c:pt>
                <c:pt idx="24">
                  <c:v>37.31151015307185</c:v>
                </c:pt>
                <c:pt idx="25">
                  <c:v>37.31151015307185</c:v>
                </c:pt>
                <c:pt idx="26">
                  <c:v>37.447673435381233</c:v>
                </c:pt>
                <c:pt idx="27">
                  <c:v>37.447673435381233</c:v>
                </c:pt>
                <c:pt idx="28">
                  <c:v>37.583836717690623</c:v>
                </c:pt>
                <c:pt idx="29">
                  <c:v>37.70342851191716</c:v>
                </c:pt>
                <c:pt idx="30">
                  <c:v>37.839591794226543</c:v>
                </c:pt>
                <c:pt idx="31">
                  <c:v>37.975755076535933</c:v>
                </c:pt>
                <c:pt idx="32">
                  <c:v>37.975755076535933</c:v>
                </c:pt>
                <c:pt idx="33" formatCode="General">
                  <c:v>38</c:v>
                </c:pt>
                <c:pt idx="34" formatCode="General">
                  <c:v>38</c:v>
                </c:pt>
                <c:pt idx="35" formatCode="General">
                  <c:v>38</c:v>
                </c:pt>
                <c:pt idx="36" formatCode="General">
                  <c:v>38</c:v>
                </c:pt>
                <c:pt idx="37" formatCode="General">
                  <c:v>38</c:v>
                </c:pt>
                <c:pt idx="38">
                  <c:v>38.111918358845308</c:v>
                </c:pt>
                <c:pt idx="39">
                  <c:v>38.231510153071852</c:v>
                </c:pt>
                <c:pt idx="40">
                  <c:v>38.367673435381235</c:v>
                </c:pt>
                <c:pt idx="41">
                  <c:v>38.367673435381235</c:v>
                </c:pt>
                <c:pt idx="42">
                  <c:v>38.367673435381235</c:v>
                </c:pt>
                <c:pt idx="43">
                  <c:v>38.367673435381235</c:v>
                </c:pt>
                <c:pt idx="44">
                  <c:v>38.503836717690618</c:v>
                </c:pt>
                <c:pt idx="45">
                  <c:v>38.623428511917162</c:v>
                </c:pt>
                <c:pt idx="46">
                  <c:v>38.759591794226544</c:v>
                </c:pt>
                <c:pt idx="47">
                  <c:v>38.759591794226544</c:v>
                </c:pt>
                <c:pt idx="48">
                  <c:v>38.895755076535927</c:v>
                </c:pt>
                <c:pt idx="49" formatCode="General">
                  <c:v>39</c:v>
                </c:pt>
                <c:pt idx="50" formatCode="General">
                  <c:v>39</c:v>
                </c:pt>
                <c:pt idx="51" formatCode="General">
                  <c:v>39</c:v>
                </c:pt>
                <c:pt idx="52" formatCode="General">
                  <c:v>39</c:v>
                </c:pt>
                <c:pt idx="53" formatCode="General">
                  <c:v>39</c:v>
                </c:pt>
                <c:pt idx="54">
                  <c:v>39.151510153071854</c:v>
                </c:pt>
                <c:pt idx="55">
                  <c:v>39.151510153071854</c:v>
                </c:pt>
                <c:pt idx="56">
                  <c:v>39.151510153071854</c:v>
                </c:pt>
                <c:pt idx="57">
                  <c:v>39.423836717690619</c:v>
                </c:pt>
                <c:pt idx="58">
                  <c:v>39.423836717690619</c:v>
                </c:pt>
                <c:pt idx="59">
                  <c:v>39.543428511917163</c:v>
                </c:pt>
                <c:pt idx="60">
                  <c:v>39.543428511917163</c:v>
                </c:pt>
                <c:pt idx="61">
                  <c:v>39.679591794226539</c:v>
                </c:pt>
                <c:pt idx="62">
                  <c:v>39.679591794226539</c:v>
                </c:pt>
                <c:pt idx="63">
                  <c:v>39.679591794226539</c:v>
                </c:pt>
                <c:pt idx="64" formatCode="General">
                  <c:v>40</c:v>
                </c:pt>
                <c:pt idx="65" formatCode="General">
                  <c:v>40</c:v>
                </c:pt>
                <c:pt idx="66" formatCode="General">
                  <c:v>40</c:v>
                </c:pt>
                <c:pt idx="67" formatCode="General">
                  <c:v>40</c:v>
                </c:pt>
                <c:pt idx="68" formatCode="General">
                  <c:v>40</c:v>
                </c:pt>
                <c:pt idx="69" formatCode="General">
                  <c:v>40</c:v>
                </c:pt>
                <c:pt idx="70" formatCode="General">
                  <c:v>40</c:v>
                </c:pt>
                <c:pt idx="71" formatCode="General">
                  <c:v>40</c:v>
                </c:pt>
                <c:pt idx="72" formatCode="General">
                  <c:v>40</c:v>
                </c:pt>
                <c:pt idx="73" formatCode="General">
                  <c:v>40</c:v>
                </c:pt>
                <c:pt idx="74" formatCode="General">
                  <c:v>40</c:v>
                </c:pt>
                <c:pt idx="75" formatCode="General">
                  <c:v>40</c:v>
                </c:pt>
                <c:pt idx="76" formatCode="General">
                  <c:v>40</c:v>
                </c:pt>
                <c:pt idx="77" formatCode="General">
                  <c:v>40</c:v>
                </c:pt>
                <c:pt idx="78">
                  <c:v>40.071510153071848</c:v>
                </c:pt>
                <c:pt idx="79">
                  <c:v>40.207673435381231</c:v>
                </c:pt>
                <c:pt idx="80">
                  <c:v>40.207673435381231</c:v>
                </c:pt>
                <c:pt idx="81">
                  <c:v>40.207673435381231</c:v>
                </c:pt>
                <c:pt idx="82">
                  <c:v>40.463428511917158</c:v>
                </c:pt>
                <c:pt idx="83">
                  <c:v>40.463428511917158</c:v>
                </c:pt>
                <c:pt idx="84">
                  <c:v>40.599591794226541</c:v>
                </c:pt>
                <c:pt idx="85">
                  <c:v>40.871918358845313</c:v>
                </c:pt>
                <c:pt idx="86">
                  <c:v>40.99151015307185</c:v>
                </c:pt>
                <c:pt idx="87">
                  <c:v>40.99151015307185</c:v>
                </c:pt>
                <c:pt idx="88" formatCode="General">
                  <c:v>41</c:v>
                </c:pt>
                <c:pt idx="89" formatCode="General">
                  <c:v>41</c:v>
                </c:pt>
                <c:pt idx="90" formatCode="General">
                  <c:v>41</c:v>
                </c:pt>
                <c:pt idx="91" formatCode="General">
                  <c:v>41</c:v>
                </c:pt>
                <c:pt idx="92" formatCode="General">
                  <c:v>41</c:v>
                </c:pt>
                <c:pt idx="93" formatCode="General">
                  <c:v>41</c:v>
                </c:pt>
                <c:pt idx="94" formatCode="General">
                  <c:v>41</c:v>
                </c:pt>
                <c:pt idx="95" formatCode="General">
                  <c:v>41</c:v>
                </c:pt>
                <c:pt idx="96" formatCode="General">
                  <c:v>41</c:v>
                </c:pt>
                <c:pt idx="97">
                  <c:v>41.263836717690623</c:v>
                </c:pt>
                <c:pt idx="98">
                  <c:v>41.519591794226542</c:v>
                </c:pt>
                <c:pt idx="99">
                  <c:v>41.911510153071852</c:v>
                </c:pt>
                <c:pt idx="100" formatCode="General">
                  <c:v>42</c:v>
                </c:pt>
                <c:pt idx="101" formatCode="General">
                  <c:v>42</c:v>
                </c:pt>
                <c:pt idx="102" formatCode="General">
                  <c:v>42</c:v>
                </c:pt>
                <c:pt idx="103" formatCode="General">
                  <c:v>42</c:v>
                </c:pt>
                <c:pt idx="104" formatCode="General">
                  <c:v>42</c:v>
                </c:pt>
                <c:pt idx="105" formatCode="General">
                  <c:v>42</c:v>
                </c:pt>
                <c:pt idx="106" formatCode="General">
                  <c:v>42</c:v>
                </c:pt>
                <c:pt idx="107" formatCode="General">
                  <c:v>42</c:v>
                </c:pt>
                <c:pt idx="108">
                  <c:v>42.303428511917161</c:v>
                </c:pt>
                <c:pt idx="109">
                  <c:v>42.439591794226544</c:v>
                </c:pt>
                <c:pt idx="110" formatCode="General">
                  <c:v>43</c:v>
                </c:pt>
                <c:pt idx="111" formatCode="General">
                  <c:v>43</c:v>
                </c:pt>
                <c:pt idx="112" formatCode="General">
                  <c:v>43</c:v>
                </c:pt>
                <c:pt idx="113">
                  <c:v>43.359591794226539</c:v>
                </c:pt>
                <c:pt idx="114">
                  <c:v>43.887673435381231</c:v>
                </c:pt>
                <c:pt idx="115" formatCode="General">
                  <c:v>44</c:v>
                </c:pt>
                <c:pt idx="116" formatCode="General">
                  <c:v>44</c:v>
                </c:pt>
                <c:pt idx="117" formatCode="General">
                  <c:v>44</c:v>
                </c:pt>
                <c:pt idx="118">
                  <c:v>44.143428511917158</c:v>
                </c:pt>
                <c:pt idx="119">
                  <c:v>44.143428511917158</c:v>
                </c:pt>
                <c:pt idx="120">
                  <c:v>44.27959179422654</c:v>
                </c:pt>
                <c:pt idx="121">
                  <c:v>44.27959179422654</c:v>
                </c:pt>
                <c:pt idx="122" formatCode="General">
                  <c:v>45</c:v>
                </c:pt>
                <c:pt idx="123" formatCode="General">
                  <c:v>45</c:v>
                </c:pt>
                <c:pt idx="124" formatCode="General">
                  <c:v>45</c:v>
                </c:pt>
                <c:pt idx="125">
                  <c:v>45.727673435381234</c:v>
                </c:pt>
                <c:pt idx="126" formatCode="General">
                  <c:v>46</c:v>
                </c:pt>
                <c:pt idx="127" formatCode="General">
                  <c:v>46</c:v>
                </c:pt>
                <c:pt idx="128" formatCode="General">
                  <c:v>46</c:v>
                </c:pt>
                <c:pt idx="129" formatCode="General">
                  <c:v>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0D-4D9F-86E3-EF26EF6E8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857624"/>
        <c:axId val="544854744"/>
      </c:scatterChart>
      <c:valAx>
        <c:axId val="544857624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chemeClr val="accent1">
                  <a:alpha val="48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200" b="1"/>
                  <a:t>Rank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4854744"/>
        <c:crosses val="autoZero"/>
        <c:crossBetween val="midCat"/>
      </c:valAx>
      <c:valAx>
        <c:axId val="544854744"/>
        <c:scaling>
          <c:orientation val="minMax"/>
          <c:min val="30"/>
        </c:scaling>
        <c:delete val="0"/>
        <c:axPos val="l"/>
        <c:majorGridlines>
          <c:spPr>
            <a:ln w="3175" cap="flat" cmpd="sng" algn="ctr">
              <a:solidFill>
                <a:schemeClr val="accent1">
                  <a:alpha val="48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200" b="1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4857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57151</xdr:colOff>
      <xdr:row>0</xdr:row>
      <xdr:rowOff>47624</xdr:rowOff>
    </xdr:from>
    <xdr:to>
      <xdr:col>9</xdr:col>
      <xdr:colOff>333375</xdr:colOff>
      <xdr:row>5</xdr:row>
      <xdr:rowOff>266699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33711F06-FF68-B0BC-5877-123771BC2731}"/>
            </a:ext>
          </a:extLst>
        </xdr:cNvPr>
        <xdr:cNvSpPr txBox="1"/>
      </xdr:nvSpPr>
      <xdr:spPr>
        <a:xfrm>
          <a:off x="3409951" y="47624"/>
          <a:ext cx="4543424" cy="1552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it-IT" sz="1100">
              <a:latin typeface="Arial" panose="020B0604020202020204" pitchFamily="34" charset="0"/>
              <a:cs typeface="Arial" panose="020B0604020202020204" pitchFamily="34" charset="0"/>
            </a:rPr>
            <a:t>I dati del</a:t>
          </a:r>
          <a:r>
            <a:rPr lang="it-IT" sz="1100" baseline="0">
              <a:latin typeface="Arial" panose="020B0604020202020204" pitchFamily="34" charset="0"/>
              <a:cs typeface="Arial" panose="020B0604020202020204" pitchFamily="34" charset="0"/>
            </a:rPr>
            <a:t> sottocampione considerato (appartenenti al gruppo 1), forniscono una stima dell'età del campione composto da 250 individui. I valori di media e deviazione standard del sottocampione (40,40; 3,03) sono simili ai valori del campione (41; 3,52), per cui il sottocampione può essere considerato rappresentativo del campione.</a:t>
          </a:r>
        </a:p>
        <a:p>
          <a:pPr algn="l"/>
          <a:r>
            <a:rPr lang="it-IT" sz="1100" baseline="0">
              <a:latin typeface="Arial" panose="020B0604020202020204" pitchFamily="34" charset="0"/>
              <a:cs typeface="Arial" panose="020B0604020202020204" pitchFamily="34" charset="0"/>
            </a:rPr>
            <a:t>La media del sottocampione rientra all'interno dell'intervallo di confidenza di 0,95: ciò vuol dire che esiste una probabilità del 95% che la vera media del campione di 250 individui rientri nell'intervallo compreso tra 39,6634 e 41,1366.</a:t>
          </a:r>
          <a:endParaRPr lang="it-IT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14286</xdr:colOff>
      <xdr:row>0</xdr:row>
      <xdr:rowOff>266699</xdr:rowOff>
    </xdr:from>
    <xdr:to>
      <xdr:col>16</xdr:col>
      <xdr:colOff>276225</xdr:colOff>
      <xdr:row>20</xdr:row>
      <xdr:rowOff>180975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AAE6670E-368B-350A-A38D-09EE4AE2C1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19049</xdr:colOff>
      <xdr:row>21</xdr:row>
      <xdr:rowOff>133349</xdr:rowOff>
    </xdr:from>
    <xdr:to>
      <xdr:col>16</xdr:col>
      <xdr:colOff>276224</xdr:colOff>
      <xdr:row>28</xdr:row>
      <xdr:rowOff>85725</xdr:rowOff>
    </xdr:to>
    <xdr:sp macro="" textlink="">
      <xdr:nvSpPr>
        <xdr:cNvPr id="5" name="CasellaDiTesto 4">
          <a:extLst>
            <a:ext uri="{FF2B5EF4-FFF2-40B4-BE49-F238E27FC236}">
              <a16:creationId xmlns:a16="http://schemas.microsoft.com/office/drawing/2014/main" id="{68E5C86D-E930-5C00-DAC8-8DBCB1BFC1F3}"/>
            </a:ext>
          </a:extLst>
        </xdr:cNvPr>
        <xdr:cNvSpPr txBox="1"/>
      </xdr:nvSpPr>
      <xdr:spPr>
        <a:xfrm>
          <a:off x="4867274" y="4257674"/>
          <a:ext cx="6353175" cy="128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>
              <a:latin typeface="Arial" panose="020B0604020202020204" pitchFamily="34" charset="0"/>
              <a:cs typeface="Arial" panose="020B0604020202020204" pitchFamily="34" charset="0"/>
            </a:rPr>
            <a:t>Il grafico mostra</a:t>
          </a:r>
          <a:r>
            <a:rPr lang="it-IT" sz="1100" baseline="0">
              <a:latin typeface="Arial" panose="020B0604020202020204" pitchFamily="34" charset="0"/>
              <a:cs typeface="Arial" panose="020B0604020202020204" pitchFamily="34" charset="0"/>
            </a:rPr>
            <a:t> l'esistenza di una forte correlazione tra età degil individui e numero di censimenti. </a:t>
          </a:r>
        </a:p>
        <a:p>
          <a:r>
            <a:rPr lang="it-IT" sz="1100" baseline="0">
              <a:latin typeface="Arial" panose="020B0604020202020204" pitchFamily="34" charset="0"/>
              <a:cs typeface="Arial" panose="020B0604020202020204" pitchFamily="34" charset="0"/>
            </a:rPr>
            <a:t>Il coefficiente 0,0794x indica la pendenza della retta di regressione rispetto all'asse delle ascisse.</a:t>
          </a:r>
        </a:p>
        <a:p>
          <a:r>
            <a:rPr lang="it-IT" sz="1100">
              <a:latin typeface="Arial" panose="020B0604020202020204" pitchFamily="34" charset="0"/>
              <a:cs typeface="Arial" panose="020B0604020202020204" pitchFamily="34" charset="0"/>
            </a:rPr>
            <a:t>Il coefficiente R</a:t>
          </a:r>
          <a:r>
            <a:rPr lang="it-IT" sz="1100" baseline="30000">
              <a:latin typeface="Arial" panose="020B0604020202020204" pitchFamily="34" charset="0"/>
              <a:cs typeface="Arial" panose="020B0604020202020204" pitchFamily="34" charset="0"/>
            </a:rPr>
            <a:t>2</a:t>
          </a:r>
          <a:r>
            <a:rPr lang="it-IT" sz="1100">
              <a:latin typeface="Arial" panose="020B0604020202020204" pitchFamily="34" charset="0"/>
              <a:cs typeface="Arial" panose="020B0604020202020204" pitchFamily="34" charset="0"/>
            </a:rPr>
            <a:t>, ch</a:t>
          </a:r>
          <a:r>
            <a:rPr lang="it-IT" sz="1100" baseline="0">
              <a:latin typeface="Arial" panose="020B0604020202020204" pitchFamily="34" charset="0"/>
              <a:cs typeface="Arial" panose="020B0604020202020204" pitchFamily="34" charset="0"/>
            </a:rPr>
            <a:t>e può assumere valori compresi tra 0 e 1, è </a:t>
          </a:r>
          <a:r>
            <a:rPr lang="it-IT" sz="1100">
              <a:latin typeface="Arial" panose="020B0604020202020204" pitchFamily="34" charset="0"/>
              <a:cs typeface="Arial" panose="020B0604020202020204" pitchFamily="34" charset="0"/>
            </a:rPr>
            <a:t>pari a 0,9351: questo indica</a:t>
          </a:r>
          <a:r>
            <a:rPr lang="it-IT" sz="1100" baseline="0">
              <a:latin typeface="Arial" panose="020B0604020202020204" pitchFamily="34" charset="0"/>
              <a:cs typeface="Arial" panose="020B0604020202020204" pitchFamily="34" charset="0"/>
            </a:rPr>
            <a:t> un ottimo adattamento della retta di regressione lineare al set di dati considerato in quanto i dati risultano poco dispersi intorno ad essa. Le due variabili prese in esame condividono il 93% della varianza: la variabile indipendente, quindi, riesce a spiegare quasi completamente la variabilità della variabile dipendente intorno alla sua media.</a:t>
          </a:r>
          <a:endParaRPr lang="it-IT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8ED8C-BFBE-49C9-9AA4-99405BB5BB0A}">
  <dimension ref="A1:C2"/>
  <sheetViews>
    <sheetView showGridLines="0" workbookViewId="0">
      <selection activeCell="L29" sqref="L29"/>
    </sheetView>
  </sheetViews>
  <sheetFormatPr defaultRowHeight="15" x14ac:dyDescent="0.25"/>
  <cols>
    <col min="1" max="1" width="13.140625" bestFit="1" customWidth="1"/>
  </cols>
  <sheetData>
    <row r="1" spans="1:3" ht="21" thickTop="1" thickBot="1" x14ac:dyDescent="0.3">
      <c r="A1" s="1" t="s">
        <v>0</v>
      </c>
      <c r="B1" s="1" t="s">
        <v>1</v>
      </c>
      <c r="C1" s="1" t="s">
        <v>2</v>
      </c>
    </row>
    <row r="2" spans="1:3" ht="15.75" thickTop="1" x14ac:dyDescent="0.25">
      <c r="A2" s="2">
        <v>0.95</v>
      </c>
      <c r="B2" s="2">
        <v>41</v>
      </c>
      <c r="C2" s="2">
        <v>3.52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415CF-B677-42E3-BDFE-1BE21CB8EC1F}">
  <dimension ref="A1:K251"/>
  <sheetViews>
    <sheetView showGridLines="0" workbookViewId="0">
      <selection activeCell="H11" sqref="H11"/>
    </sheetView>
  </sheetViews>
  <sheetFormatPr defaultRowHeight="15" x14ac:dyDescent="0.25"/>
  <cols>
    <col min="1" max="2" width="9.140625" style="5"/>
    <col min="11" max="11" width="10.7109375" bestFit="1" customWidth="1"/>
  </cols>
  <sheetData>
    <row r="1" spans="1:11" ht="21" thickTop="1" thickBot="1" x14ac:dyDescent="0.3">
      <c r="A1" s="1" t="s">
        <v>3</v>
      </c>
      <c r="B1" s="1" t="s">
        <v>4</v>
      </c>
    </row>
    <row r="2" spans="1:11" ht="15.75" thickTop="1" x14ac:dyDescent="0.25">
      <c r="A2" s="4">
        <f ca="1">INT(_xlfn.NORM.INV(RAND(),Parameters!$B$2,Parameters!$C$2))</f>
        <v>40</v>
      </c>
      <c r="B2" s="4">
        <f t="shared" ref="B2:B65" ca="1" si="0">RANDBETWEEN(1,4)</f>
        <v>1</v>
      </c>
    </row>
    <row r="3" spans="1:11" x14ac:dyDescent="0.25">
      <c r="A3" s="4">
        <f ca="1">INT(_xlfn.NORM.INV(RAND(),Parameters!$B$2,Parameters!$C$2))</f>
        <v>39</v>
      </c>
      <c r="B3" s="4">
        <f t="shared" ca="1" si="0"/>
        <v>4</v>
      </c>
    </row>
    <row r="4" spans="1:11" x14ac:dyDescent="0.25">
      <c r="A4" s="4">
        <f ca="1">INT(_xlfn.NORM.INV(RAND(),Parameters!$B$2,Parameters!$C$2))</f>
        <v>40</v>
      </c>
      <c r="B4" s="4">
        <f t="shared" ca="1" si="0"/>
        <v>4</v>
      </c>
    </row>
    <row r="5" spans="1:11" x14ac:dyDescent="0.25">
      <c r="A5" s="4">
        <f ca="1">INT(_xlfn.NORM.INV(RAND(),Parameters!$B$2,Parameters!$C$2))</f>
        <v>45</v>
      </c>
      <c r="B5" s="4">
        <f t="shared" ca="1" si="0"/>
        <v>4</v>
      </c>
    </row>
    <row r="6" spans="1:11" x14ac:dyDescent="0.25">
      <c r="A6" s="4">
        <f ca="1">INT(_xlfn.NORM.INV(RAND(),Parameters!$B$2,Parameters!$C$2))</f>
        <v>43</v>
      </c>
      <c r="B6" s="4">
        <f t="shared" ca="1" si="0"/>
        <v>2</v>
      </c>
    </row>
    <row r="7" spans="1:11" x14ac:dyDescent="0.25">
      <c r="A7" s="4">
        <f ca="1">INT(_xlfn.NORM.INV(RAND(),Parameters!$B$2,Parameters!$C$2))</f>
        <v>42</v>
      </c>
      <c r="B7" s="4">
        <f t="shared" ca="1" si="0"/>
        <v>3</v>
      </c>
    </row>
    <row r="8" spans="1:11" x14ac:dyDescent="0.25">
      <c r="A8" s="4">
        <f ca="1">INT(_xlfn.NORM.INV(RAND(),Parameters!$B$2,Parameters!$C$2))</f>
        <v>35</v>
      </c>
      <c r="B8" s="4">
        <f t="shared" ca="1" si="0"/>
        <v>1</v>
      </c>
    </row>
    <row r="9" spans="1:11" ht="15.75" x14ac:dyDescent="0.25">
      <c r="A9" s="4">
        <f ca="1">INT(_xlfn.NORM.INV(RAND(),Parameters!$B$2,Parameters!$C$2))</f>
        <v>43</v>
      </c>
      <c r="B9" s="4">
        <f t="shared" ca="1" si="0"/>
        <v>3</v>
      </c>
      <c r="K9" s="3"/>
    </row>
    <row r="10" spans="1:11" x14ac:dyDescent="0.25">
      <c r="A10" s="4">
        <f ca="1">INT(_xlfn.NORM.INV(RAND(),Parameters!$B$2,Parameters!$C$2))</f>
        <v>37</v>
      </c>
      <c r="B10" s="4">
        <f t="shared" ca="1" si="0"/>
        <v>3</v>
      </c>
    </row>
    <row r="11" spans="1:11" x14ac:dyDescent="0.25">
      <c r="A11" s="4">
        <f ca="1">INT(_xlfn.NORM.INV(RAND(),Parameters!$B$2,Parameters!$C$2))</f>
        <v>35</v>
      </c>
      <c r="B11" s="4">
        <f t="shared" ca="1" si="0"/>
        <v>2</v>
      </c>
    </row>
    <row r="12" spans="1:11" x14ac:dyDescent="0.25">
      <c r="A12" s="4">
        <f ca="1">INT(_xlfn.NORM.INV(RAND(),Parameters!$B$2,Parameters!$C$2))</f>
        <v>45</v>
      </c>
      <c r="B12" s="4">
        <f t="shared" ca="1" si="0"/>
        <v>2</v>
      </c>
    </row>
    <row r="13" spans="1:11" x14ac:dyDescent="0.25">
      <c r="A13" s="4">
        <f ca="1">INT(_xlfn.NORM.INV(RAND(),Parameters!$B$2,Parameters!$C$2))</f>
        <v>44</v>
      </c>
      <c r="B13" s="4">
        <f t="shared" ca="1" si="0"/>
        <v>3</v>
      </c>
    </row>
    <row r="14" spans="1:11" x14ac:dyDescent="0.25">
      <c r="A14" s="4">
        <f ca="1">INT(_xlfn.NORM.INV(RAND(),Parameters!$B$2,Parameters!$C$2))</f>
        <v>45</v>
      </c>
      <c r="B14" s="4">
        <f t="shared" ca="1" si="0"/>
        <v>2</v>
      </c>
    </row>
    <row r="15" spans="1:11" x14ac:dyDescent="0.25">
      <c r="A15" s="4">
        <f ca="1">INT(_xlfn.NORM.INV(RAND(),Parameters!$B$2,Parameters!$C$2))</f>
        <v>44</v>
      </c>
      <c r="B15" s="4">
        <f t="shared" ca="1" si="0"/>
        <v>1</v>
      </c>
    </row>
    <row r="16" spans="1:11" x14ac:dyDescent="0.25">
      <c r="A16" s="4">
        <f ca="1">INT(_xlfn.NORM.INV(RAND(),Parameters!$B$2,Parameters!$C$2))</f>
        <v>48</v>
      </c>
      <c r="B16" s="4">
        <f t="shared" ca="1" si="0"/>
        <v>1</v>
      </c>
    </row>
    <row r="17" spans="1:2" x14ac:dyDescent="0.25">
      <c r="A17" s="4">
        <f ca="1">INT(_xlfn.NORM.INV(RAND(),Parameters!$B$2,Parameters!$C$2))</f>
        <v>36</v>
      </c>
      <c r="B17" s="4">
        <f t="shared" ca="1" si="0"/>
        <v>3</v>
      </c>
    </row>
    <row r="18" spans="1:2" x14ac:dyDescent="0.25">
      <c r="A18" s="4">
        <f ca="1">INT(_xlfn.NORM.INV(RAND(),Parameters!$B$2,Parameters!$C$2))</f>
        <v>43</v>
      </c>
      <c r="B18" s="4">
        <f t="shared" ca="1" si="0"/>
        <v>2</v>
      </c>
    </row>
    <row r="19" spans="1:2" x14ac:dyDescent="0.25">
      <c r="A19" s="4">
        <f ca="1">INT(_xlfn.NORM.INV(RAND(),Parameters!$B$2,Parameters!$C$2))</f>
        <v>39</v>
      </c>
      <c r="B19" s="4">
        <f t="shared" ca="1" si="0"/>
        <v>4</v>
      </c>
    </row>
    <row r="20" spans="1:2" x14ac:dyDescent="0.25">
      <c r="A20" s="4">
        <f ca="1">INT(_xlfn.NORM.INV(RAND(),Parameters!$B$2,Parameters!$C$2))</f>
        <v>37</v>
      </c>
      <c r="B20" s="4">
        <f t="shared" ca="1" si="0"/>
        <v>3</v>
      </c>
    </row>
    <row r="21" spans="1:2" x14ac:dyDescent="0.25">
      <c r="A21" s="4">
        <f ca="1">INT(_xlfn.NORM.INV(RAND(),Parameters!$B$2,Parameters!$C$2))</f>
        <v>41</v>
      </c>
      <c r="B21" s="4">
        <f t="shared" ca="1" si="0"/>
        <v>3</v>
      </c>
    </row>
    <row r="22" spans="1:2" x14ac:dyDescent="0.25">
      <c r="A22" s="4">
        <f ca="1">INT(_xlfn.NORM.INV(RAND(),Parameters!$B$2,Parameters!$C$2))</f>
        <v>40</v>
      </c>
      <c r="B22" s="4">
        <f t="shared" ca="1" si="0"/>
        <v>1</v>
      </c>
    </row>
    <row r="23" spans="1:2" x14ac:dyDescent="0.25">
      <c r="A23" s="4">
        <f ca="1">INT(_xlfn.NORM.INV(RAND(),Parameters!$B$2,Parameters!$C$2))</f>
        <v>37</v>
      </c>
      <c r="B23" s="4">
        <f t="shared" ca="1" si="0"/>
        <v>4</v>
      </c>
    </row>
    <row r="24" spans="1:2" x14ac:dyDescent="0.25">
      <c r="A24" s="4">
        <f ca="1">INT(_xlfn.NORM.INV(RAND(),Parameters!$B$2,Parameters!$C$2))</f>
        <v>42</v>
      </c>
      <c r="B24" s="4">
        <f t="shared" ca="1" si="0"/>
        <v>2</v>
      </c>
    </row>
    <row r="25" spans="1:2" x14ac:dyDescent="0.25">
      <c r="A25" s="4">
        <f ca="1">INT(_xlfn.NORM.INV(RAND(),Parameters!$B$2,Parameters!$C$2))</f>
        <v>37</v>
      </c>
      <c r="B25" s="4">
        <f t="shared" ca="1" si="0"/>
        <v>4</v>
      </c>
    </row>
    <row r="26" spans="1:2" x14ac:dyDescent="0.25">
      <c r="A26" s="4">
        <f ca="1">INT(_xlfn.NORM.INV(RAND(),Parameters!$B$2,Parameters!$C$2))</f>
        <v>39</v>
      </c>
      <c r="B26" s="4">
        <f t="shared" ca="1" si="0"/>
        <v>3</v>
      </c>
    </row>
    <row r="27" spans="1:2" x14ac:dyDescent="0.25">
      <c r="A27" s="4">
        <f ca="1">INT(_xlfn.NORM.INV(RAND(),Parameters!$B$2,Parameters!$C$2))</f>
        <v>37</v>
      </c>
      <c r="B27" s="4">
        <f t="shared" ca="1" si="0"/>
        <v>1</v>
      </c>
    </row>
    <row r="28" spans="1:2" x14ac:dyDescent="0.25">
      <c r="A28" s="4">
        <f ca="1">INT(_xlfn.NORM.INV(RAND(),Parameters!$B$2,Parameters!$C$2))</f>
        <v>42</v>
      </c>
      <c r="B28" s="4">
        <f t="shared" ca="1" si="0"/>
        <v>3</v>
      </c>
    </row>
    <row r="29" spans="1:2" x14ac:dyDescent="0.25">
      <c r="A29" s="4">
        <f ca="1">INT(_xlfn.NORM.INV(RAND(),Parameters!$B$2,Parameters!$C$2))</f>
        <v>41</v>
      </c>
      <c r="B29" s="4">
        <f t="shared" ca="1" si="0"/>
        <v>3</v>
      </c>
    </row>
    <row r="30" spans="1:2" x14ac:dyDescent="0.25">
      <c r="A30" s="4">
        <f ca="1">INT(_xlfn.NORM.INV(RAND(),Parameters!$B$2,Parameters!$C$2))</f>
        <v>39</v>
      </c>
      <c r="B30" s="4">
        <f t="shared" ca="1" si="0"/>
        <v>2</v>
      </c>
    </row>
    <row r="31" spans="1:2" x14ac:dyDescent="0.25">
      <c r="A31" s="4">
        <f ca="1">INT(_xlfn.NORM.INV(RAND(),Parameters!$B$2,Parameters!$C$2))</f>
        <v>39</v>
      </c>
      <c r="B31" s="4">
        <f t="shared" ca="1" si="0"/>
        <v>1</v>
      </c>
    </row>
    <row r="32" spans="1:2" x14ac:dyDescent="0.25">
      <c r="A32" s="4">
        <f ca="1">INT(_xlfn.NORM.INV(RAND(),Parameters!$B$2,Parameters!$C$2))</f>
        <v>39</v>
      </c>
      <c r="B32" s="4">
        <f t="shared" ca="1" si="0"/>
        <v>1</v>
      </c>
    </row>
    <row r="33" spans="1:2" x14ac:dyDescent="0.25">
      <c r="A33" s="4">
        <f ca="1">INT(_xlfn.NORM.INV(RAND(),Parameters!$B$2,Parameters!$C$2))</f>
        <v>50</v>
      </c>
      <c r="B33" s="4">
        <f t="shared" ca="1" si="0"/>
        <v>2</v>
      </c>
    </row>
    <row r="34" spans="1:2" x14ac:dyDescent="0.25">
      <c r="A34" s="4">
        <f ca="1">INT(_xlfn.NORM.INV(RAND(),Parameters!$B$2,Parameters!$C$2))</f>
        <v>40</v>
      </c>
      <c r="B34" s="4">
        <f t="shared" ca="1" si="0"/>
        <v>1</v>
      </c>
    </row>
    <row r="35" spans="1:2" x14ac:dyDescent="0.25">
      <c r="A35" s="4">
        <f ca="1">INT(_xlfn.NORM.INV(RAND(),Parameters!$B$2,Parameters!$C$2))</f>
        <v>43</v>
      </c>
      <c r="B35" s="4">
        <f t="shared" ca="1" si="0"/>
        <v>3</v>
      </c>
    </row>
    <row r="36" spans="1:2" x14ac:dyDescent="0.25">
      <c r="A36" s="4">
        <f ca="1">INT(_xlfn.NORM.INV(RAND(),Parameters!$B$2,Parameters!$C$2))</f>
        <v>37</v>
      </c>
      <c r="B36" s="4">
        <f t="shared" ca="1" si="0"/>
        <v>2</v>
      </c>
    </row>
    <row r="37" spans="1:2" x14ac:dyDescent="0.25">
      <c r="A37" s="4">
        <f ca="1">INT(_xlfn.NORM.INV(RAND(),Parameters!$B$2,Parameters!$C$2))</f>
        <v>41</v>
      </c>
      <c r="B37" s="4">
        <f t="shared" ca="1" si="0"/>
        <v>3</v>
      </c>
    </row>
    <row r="38" spans="1:2" x14ac:dyDescent="0.25">
      <c r="A38" s="4">
        <f ca="1">INT(_xlfn.NORM.INV(RAND(),Parameters!$B$2,Parameters!$C$2))</f>
        <v>43</v>
      </c>
      <c r="B38" s="4">
        <f t="shared" ca="1" si="0"/>
        <v>4</v>
      </c>
    </row>
    <row r="39" spans="1:2" x14ac:dyDescent="0.25">
      <c r="A39" s="4">
        <f ca="1">INT(_xlfn.NORM.INV(RAND(),Parameters!$B$2,Parameters!$C$2))</f>
        <v>40</v>
      </c>
      <c r="B39" s="4">
        <f t="shared" ca="1" si="0"/>
        <v>1</v>
      </c>
    </row>
    <row r="40" spans="1:2" x14ac:dyDescent="0.25">
      <c r="A40" s="4">
        <f ca="1">INT(_xlfn.NORM.INV(RAND(),Parameters!$B$2,Parameters!$C$2))</f>
        <v>44</v>
      </c>
      <c r="B40" s="4">
        <f t="shared" ca="1" si="0"/>
        <v>1</v>
      </c>
    </row>
    <row r="41" spans="1:2" x14ac:dyDescent="0.25">
      <c r="A41" s="4">
        <f ca="1">INT(_xlfn.NORM.INV(RAND(),Parameters!$B$2,Parameters!$C$2))</f>
        <v>38</v>
      </c>
      <c r="B41" s="4">
        <f t="shared" ca="1" si="0"/>
        <v>1</v>
      </c>
    </row>
    <row r="42" spans="1:2" x14ac:dyDescent="0.25">
      <c r="A42" s="4">
        <f ca="1">INT(_xlfn.NORM.INV(RAND(),Parameters!$B$2,Parameters!$C$2))</f>
        <v>36</v>
      </c>
      <c r="B42" s="4">
        <f t="shared" ca="1" si="0"/>
        <v>3</v>
      </c>
    </row>
    <row r="43" spans="1:2" x14ac:dyDescent="0.25">
      <c r="A43" s="4">
        <f ca="1">INT(_xlfn.NORM.INV(RAND(),Parameters!$B$2,Parameters!$C$2))</f>
        <v>42</v>
      </c>
      <c r="B43" s="4">
        <f t="shared" ca="1" si="0"/>
        <v>2</v>
      </c>
    </row>
    <row r="44" spans="1:2" x14ac:dyDescent="0.25">
      <c r="A44" s="4">
        <f ca="1">INT(_xlfn.NORM.INV(RAND(),Parameters!$B$2,Parameters!$C$2))</f>
        <v>47</v>
      </c>
      <c r="B44" s="4">
        <f t="shared" ca="1" si="0"/>
        <v>2</v>
      </c>
    </row>
    <row r="45" spans="1:2" x14ac:dyDescent="0.25">
      <c r="A45" s="4">
        <f ca="1">INT(_xlfn.NORM.INV(RAND(),Parameters!$B$2,Parameters!$C$2))</f>
        <v>41</v>
      </c>
      <c r="B45" s="4">
        <f t="shared" ca="1" si="0"/>
        <v>1</v>
      </c>
    </row>
    <row r="46" spans="1:2" x14ac:dyDescent="0.25">
      <c r="A46" s="4">
        <f ca="1">INT(_xlfn.NORM.INV(RAND(),Parameters!$B$2,Parameters!$C$2))</f>
        <v>32</v>
      </c>
      <c r="B46" s="4">
        <f t="shared" ca="1" si="0"/>
        <v>3</v>
      </c>
    </row>
    <row r="47" spans="1:2" x14ac:dyDescent="0.25">
      <c r="A47" s="4">
        <f ca="1">INT(_xlfn.NORM.INV(RAND(),Parameters!$B$2,Parameters!$C$2))</f>
        <v>41</v>
      </c>
      <c r="B47" s="4">
        <f t="shared" ca="1" si="0"/>
        <v>1</v>
      </c>
    </row>
    <row r="48" spans="1:2" x14ac:dyDescent="0.25">
      <c r="A48" s="4">
        <f ca="1">INT(_xlfn.NORM.INV(RAND(),Parameters!$B$2,Parameters!$C$2))</f>
        <v>44</v>
      </c>
      <c r="B48" s="4">
        <f t="shared" ca="1" si="0"/>
        <v>1</v>
      </c>
    </row>
    <row r="49" spans="1:2" x14ac:dyDescent="0.25">
      <c r="A49" s="4">
        <f ca="1">INT(_xlfn.NORM.INV(RAND(),Parameters!$B$2,Parameters!$C$2))</f>
        <v>36</v>
      </c>
      <c r="B49" s="4">
        <f t="shared" ca="1" si="0"/>
        <v>1</v>
      </c>
    </row>
    <row r="50" spans="1:2" x14ac:dyDescent="0.25">
      <c r="A50" s="4">
        <f ca="1">INT(_xlfn.NORM.INV(RAND(),Parameters!$B$2,Parameters!$C$2))</f>
        <v>39</v>
      </c>
      <c r="B50" s="4">
        <f t="shared" ca="1" si="0"/>
        <v>1</v>
      </c>
    </row>
    <row r="51" spans="1:2" x14ac:dyDescent="0.25">
      <c r="A51" s="4">
        <f ca="1">INT(_xlfn.NORM.INV(RAND(),Parameters!$B$2,Parameters!$C$2))</f>
        <v>42</v>
      </c>
      <c r="B51" s="4">
        <f t="shared" ca="1" si="0"/>
        <v>4</v>
      </c>
    </row>
    <row r="52" spans="1:2" x14ac:dyDescent="0.25">
      <c r="A52" s="4">
        <f ca="1">INT(_xlfn.NORM.INV(RAND(),Parameters!$B$2,Parameters!$C$2))</f>
        <v>41</v>
      </c>
      <c r="B52" s="4">
        <f t="shared" ca="1" si="0"/>
        <v>4</v>
      </c>
    </row>
    <row r="53" spans="1:2" x14ac:dyDescent="0.25">
      <c r="A53" s="4">
        <f ca="1">INT(_xlfn.NORM.INV(RAND(),Parameters!$B$2,Parameters!$C$2))</f>
        <v>39</v>
      </c>
      <c r="B53" s="4">
        <f t="shared" ca="1" si="0"/>
        <v>4</v>
      </c>
    </row>
    <row r="54" spans="1:2" x14ac:dyDescent="0.25">
      <c r="A54" s="4">
        <f ca="1">INT(_xlfn.NORM.INV(RAND(),Parameters!$B$2,Parameters!$C$2))</f>
        <v>44</v>
      </c>
      <c r="B54" s="4">
        <f t="shared" ca="1" si="0"/>
        <v>2</v>
      </c>
    </row>
    <row r="55" spans="1:2" x14ac:dyDescent="0.25">
      <c r="A55" s="4">
        <f ca="1">INT(_xlfn.NORM.INV(RAND(),Parameters!$B$2,Parameters!$C$2))</f>
        <v>40</v>
      </c>
      <c r="B55" s="4">
        <f t="shared" ca="1" si="0"/>
        <v>2</v>
      </c>
    </row>
    <row r="56" spans="1:2" x14ac:dyDescent="0.25">
      <c r="A56" s="4">
        <f ca="1">INT(_xlfn.NORM.INV(RAND(),Parameters!$B$2,Parameters!$C$2))</f>
        <v>43</v>
      </c>
      <c r="B56" s="4">
        <f t="shared" ca="1" si="0"/>
        <v>1</v>
      </c>
    </row>
    <row r="57" spans="1:2" x14ac:dyDescent="0.25">
      <c r="A57" s="4">
        <f ca="1">INT(_xlfn.NORM.INV(RAND(),Parameters!$B$2,Parameters!$C$2))</f>
        <v>41</v>
      </c>
      <c r="B57" s="4">
        <f t="shared" ca="1" si="0"/>
        <v>2</v>
      </c>
    </row>
    <row r="58" spans="1:2" x14ac:dyDescent="0.25">
      <c r="A58" s="4">
        <f ca="1">INT(_xlfn.NORM.INV(RAND(),Parameters!$B$2,Parameters!$C$2))</f>
        <v>42</v>
      </c>
      <c r="B58" s="4">
        <f t="shared" ca="1" si="0"/>
        <v>1</v>
      </c>
    </row>
    <row r="59" spans="1:2" x14ac:dyDescent="0.25">
      <c r="A59" s="4">
        <f ca="1">INT(_xlfn.NORM.INV(RAND(),Parameters!$B$2,Parameters!$C$2))</f>
        <v>44</v>
      </c>
      <c r="B59" s="4">
        <f t="shared" ca="1" si="0"/>
        <v>1</v>
      </c>
    </row>
    <row r="60" spans="1:2" x14ac:dyDescent="0.25">
      <c r="A60" s="4">
        <f ca="1">INT(_xlfn.NORM.INV(RAND(),Parameters!$B$2,Parameters!$C$2))</f>
        <v>40</v>
      </c>
      <c r="B60" s="4">
        <f t="shared" ca="1" si="0"/>
        <v>3</v>
      </c>
    </row>
    <row r="61" spans="1:2" x14ac:dyDescent="0.25">
      <c r="A61" s="4">
        <f ca="1">INT(_xlfn.NORM.INV(RAND(),Parameters!$B$2,Parameters!$C$2))</f>
        <v>39</v>
      </c>
      <c r="B61" s="4">
        <f t="shared" ca="1" si="0"/>
        <v>4</v>
      </c>
    </row>
    <row r="62" spans="1:2" x14ac:dyDescent="0.25">
      <c r="A62" s="4">
        <f ca="1">INT(_xlfn.NORM.INV(RAND(),Parameters!$B$2,Parameters!$C$2))</f>
        <v>39</v>
      </c>
      <c r="B62" s="4">
        <f t="shared" ca="1" si="0"/>
        <v>1</v>
      </c>
    </row>
    <row r="63" spans="1:2" x14ac:dyDescent="0.25">
      <c r="A63" s="4">
        <f ca="1">INT(_xlfn.NORM.INV(RAND(),Parameters!$B$2,Parameters!$C$2))</f>
        <v>40</v>
      </c>
      <c r="B63" s="4">
        <f t="shared" ca="1" si="0"/>
        <v>2</v>
      </c>
    </row>
    <row r="64" spans="1:2" x14ac:dyDescent="0.25">
      <c r="A64" s="4">
        <f ca="1">INT(_xlfn.NORM.INV(RAND(),Parameters!$B$2,Parameters!$C$2))</f>
        <v>46</v>
      </c>
      <c r="B64" s="4">
        <f t="shared" ca="1" si="0"/>
        <v>3</v>
      </c>
    </row>
    <row r="65" spans="1:2" x14ac:dyDescent="0.25">
      <c r="A65" s="4">
        <f ca="1">INT(_xlfn.NORM.INV(RAND(),Parameters!$B$2,Parameters!$C$2))</f>
        <v>42</v>
      </c>
      <c r="B65" s="4">
        <f t="shared" ca="1" si="0"/>
        <v>1</v>
      </c>
    </row>
    <row r="66" spans="1:2" x14ac:dyDescent="0.25">
      <c r="A66" s="4">
        <f ca="1">INT(_xlfn.NORM.INV(RAND(),Parameters!$B$2,Parameters!$C$2))</f>
        <v>35</v>
      </c>
      <c r="B66" s="4">
        <f t="shared" ref="B66:B129" ca="1" si="1">RANDBETWEEN(1,4)</f>
        <v>4</v>
      </c>
    </row>
    <row r="67" spans="1:2" x14ac:dyDescent="0.25">
      <c r="A67" s="4">
        <f ca="1">INT(_xlfn.NORM.INV(RAND(),Parameters!$B$2,Parameters!$C$2))</f>
        <v>40</v>
      </c>
      <c r="B67" s="4">
        <f t="shared" ca="1" si="1"/>
        <v>2</v>
      </c>
    </row>
    <row r="68" spans="1:2" x14ac:dyDescent="0.25">
      <c r="A68" s="4">
        <f ca="1">INT(_xlfn.NORM.INV(RAND(),Parameters!$B$2,Parameters!$C$2))</f>
        <v>41</v>
      </c>
      <c r="B68" s="4">
        <f t="shared" ca="1" si="1"/>
        <v>3</v>
      </c>
    </row>
    <row r="69" spans="1:2" x14ac:dyDescent="0.25">
      <c r="A69" s="4">
        <f ca="1">INT(_xlfn.NORM.INV(RAND(),Parameters!$B$2,Parameters!$C$2))</f>
        <v>35</v>
      </c>
      <c r="B69" s="4">
        <f t="shared" ca="1" si="1"/>
        <v>4</v>
      </c>
    </row>
    <row r="70" spans="1:2" x14ac:dyDescent="0.25">
      <c r="A70" s="4">
        <f ca="1">INT(_xlfn.NORM.INV(RAND(),Parameters!$B$2,Parameters!$C$2))</f>
        <v>40</v>
      </c>
      <c r="B70" s="4">
        <f t="shared" ca="1" si="1"/>
        <v>1</v>
      </c>
    </row>
    <row r="71" spans="1:2" x14ac:dyDescent="0.25">
      <c r="A71" s="4">
        <f ca="1">INT(_xlfn.NORM.INV(RAND(),Parameters!$B$2,Parameters!$C$2))</f>
        <v>36</v>
      </c>
      <c r="B71" s="4">
        <f t="shared" ca="1" si="1"/>
        <v>1</v>
      </c>
    </row>
    <row r="72" spans="1:2" x14ac:dyDescent="0.25">
      <c r="A72" s="4">
        <f ca="1">INT(_xlfn.NORM.INV(RAND(),Parameters!$B$2,Parameters!$C$2))</f>
        <v>44</v>
      </c>
      <c r="B72" s="4">
        <f t="shared" ca="1" si="1"/>
        <v>4</v>
      </c>
    </row>
    <row r="73" spans="1:2" x14ac:dyDescent="0.25">
      <c r="A73" s="4">
        <f ca="1">INT(_xlfn.NORM.INV(RAND(),Parameters!$B$2,Parameters!$C$2))</f>
        <v>35</v>
      </c>
      <c r="B73" s="4">
        <f t="shared" ca="1" si="1"/>
        <v>1</v>
      </c>
    </row>
    <row r="74" spans="1:2" x14ac:dyDescent="0.25">
      <c r="A74" s="4">
        <f ca="1">INT(_xlfn.NORM.INV(RAND(),Parameters!$B$2,Parameters!$C$2))</f>
        <v>40</v>
      </c>
      <c r="B74" s="4">
        <f t="shared" ca="1" si="1"/>
        <v>3</v>
      </c>
    </row>
    <row r="75" spans="1:2" x14ac:dyDescent="0.25">
      <c r="A75" s="4">
        <f ca="1">INT(_xlfn.NORM.INV(RAND(),Parameters!$B$2,Parameters!$C$2))</f>
        <v>38</v>
      </c>
      <c r="B75" s="4">
        <f t="shared" ca="1" si="1"/>
        <v>2</v>
      </c>
    </row>
    <row r="76" spans="1:2" x14ac:dyDescent="0.25">
      <c r="A76" s="4">
        <f ca="1">INT(_xlfn.NORM.INV(RAND(),Parameters!$B$2,Parameters!$C$2))</f>
        <v>36</v>
      </c>
      <c r="B76" s="4">
        <f t="shared" ca="1" si="1"/>
        <v>2</v>
      </c>
    </row>
    <row r="77" spans="1:2" x14ac:dyDescent="0.25">
      <c r="A77" s="4">
        <f ca="1">INT(_xlfn.NORM.INV(RAND(),Parameters!$B$2,Parameters!$C$2))</f>
        <v>43</v>
      </c>
      <c r="B77" s="4">
        <f t="shared" ca="1" si="1"/>
        <v>2</v>
      </c>
    </row>
    <row r="78" spans="1:2" x14ac:dyDescent="0.25">
      <c r="A78" s="4">
        <f ca="1">INT(_xlfn.NORM.INV(RAND(),Parameters!$B$2,Parameters!$C$2))</f>
        <v>42</v>
      </c>
      <c r="B78" s="4">
        <f t="shared" ca="1" si="1"/>
        <v>2</v>
      </c>
    </row>
    <row r="79" spans="1:2" x14ac:dyDescent="0.25">
      <c r="A79" s="4">
        <f ca="1">INT(_xlfn.NORM.INV(RAND(),Parameters!$B$2,Parameters!$C$2))</f>
        <v>45</v>
      </c>
      <c r="B79" s="4">
        <f t="shared" ca="1" si="1"/>
        <v>4</v>
      </c>
    </row>
    <row r="80" spans="1:2" x14ac:dyDescent="0.25">
      <c r="A80" s="4">
        <f ca="1">INT(_xlfn.NORM.INV(RAND(),Parameters!$B$2,Parameters!$C$2))</f>
        <v>38</v>
      </c>
      <c r="B80" s="4">
        <f t="shared" ca="1" si="1"/>
        <v>4</v>
      </c>
    </row>
    <row r="81" spans="1:2" x14ac:dyDescent="0.25">
      <c r="A81" s="4">
        <f ca="1">INT(_xlfn.NORM.INV(RAND(),Parameters!$B$2,Parameters!$C$2))</f>
        <v>37</v>
      </c>
      <c r="B81" s="4">
        <f t="shared" ca="1" si="1"/>
        <v>3</v>
      </c>
    </row>
    <row r="82" spans="1:2" x14ac:dyDescent="0.25">
      <c r="A82" s="4">
        <f ca="1">INT(_xlfn.NORM.INV(RAND(),Parameters!$B$2,Parameters!$C$2))</f>
        <v>42</v>
      </c>
      <c r="B82" s="4">
        <f t="shared" ca="1" si="1"/>
        <v>3</v>
      </c>
    </row>
    <row r="83" spans="1:2" x14ac:dyDescent="0.25">
      <c r="A83" s="4">
        <f ca="1">INT(_xlfn.NORM.INV(RAND(),Parameters!$B$2,Parameters!$C$2))</f>
        <v>37</v>
      </c>
      <c r="B83" s="4">
        <f t="shared" ca="1" si="1"/>
        <v>2</v>
      </c>
    </row>
    <row r="84" spans="1:2" x14ac:dyDescent="0.25">
      <c r="A84" s="4">
        <f ca="1">INT(_xlfn.NORM.INV(RAND(),Parameters!$B$2,Parameters!$C$2))</f>
        <v>44</v>
      </c>
      <c r="B84" s="4">
        <f t="shared" ca="1" si="1"/>
        <v>3</v>
      </c>
    </row>
    <row r="85" spans="1:2" x14ac:dyDescent="0.25">
      <c r="A85" s="4">
        <f ca="1">INT(_xlfn.NORM.INV(RAND(),Parameters!$B$2,Parameters!$C$2))</f>
        <v>36</v>
      </c>
      <c r="B85" s="4">
        <f t="shared" ca="1" si="1"/>
        <v>4</v>
      </c>
    </row>
    <row r="86" spans="1:2" x14ac:dyDescent="0.25">
      <c r="A86" s="4">
        <f ca="1">INT(_xlfn.NORM.INV(RAND(),Parameters!$B$2,Parameters!$C$2))</f>
        <v>41</v>
      </c>
      <c r="B86" s="4">
        <f t="shared" ca="1" si="1"/>
        <v>1</v>
      </c>
    </row>
    <row r="87" spans="1:2" x14ac:dyDescent="0.25">
      <c r="A87" s="4">
        <f ca="1">INT(_xlfn.NORM.INV(RAND(),Parameters!$B$2,Parameters!$C$2))</f>
        <v>49</v>
      </c>
      <c r="B87" s="4">
        <f t="shared" ca="1" si="1"/>
        <v>3</v>
      </c>
    </row>
    <row r="88" spans="1:2" x14ac:dyDescent="0.25">
      <c r="A88" s="4">
        <f ca="1">INT(_xlfn.NORM.INV(RAND(),Parameters!$B$2,Parameters!$C$2))</f>
        <v>39</v>
      </c>
      <c r="B88" s="4">
        <f t="shared" ca="1" si="1"/>
        <v>2</v>
      </c>
    </row>
    <row r="89" spans="1:2" x14ac:dyDescent="0.25">
      <c r="A89" s="4">
        <f ca="1">INT(_xlfn.NORM.INV(RAND(),Parameters!$B$2,Parameters!$C$2))</f>
        <v>42</v>
      </c>
      <c r="B89" s="4">
        <f t="shared" ca="1" si="1"/>
        <v>2</v>
      </c>
    </row>
    <row r="90" spans="1:2" x14ac:dyDescent="0.25">
      <c r="A90" s="4">
        <f ca="1">INT(_xlfn.NORM.INV(RAND(),Parameters!$B$2,Parameters!$C$2))</f>
        <v>41</v>
      </c>
      <c r="B90" s="4">
        <f t="shared" ca="1" si="1"/>
        <v>2</v>
      </c>
    </row>
    <row r="91" spans="1:2" x14ac:dyDescent="0.25">
      <c r="A91" s="4">
        <f ca="1">INT(_xlfn.NORM.INV(RAND(),Parameters!$B$2,Parameters!$C$2))</f>
        <v>40</v>
      </c>
      <c r="B91" s="4">
        <f t="shared" ca="1" si="1"/>
        <v>3</v>
      </c>
    </row>
    <row r="92" spans="1:2" x14ac:dyDescent="0.25">
      <c r="A92" s="4">
        <f ca="1">INT(_xlfn.NORM.INV(RAND(),Parameters!$B$2,Parameters!$C$2))</f>
        <v>39</v>
      </c>
      <c r="B92" s="4">
        <f t="shared" ca="1" si="1"/>
        <v>4</v>
      </c>
    </row>
    <row r="93" spans="1:2" x14ac:dyDescent="0.25">
      <c r="A93" s="4">
        <f ca="1">INT(_xlfn.NORM.INV(RAND(),Parameters!$B$2,Parameters!$C$2))</f>
        <v>43</v>
      </c>
      <c r="B93" s="4">
        <f t="shared" ca="1" si="1"/>
        <v>4</v>
      </c>
    </row>
    <row r="94" spans="1:2" x14ac:dyDescent="0.25">
      <c r="A94" s="4">
        <f ca="1">INT(_xlfn.NORM.INV(RAND(),Parameters!$B$2,Parameters!$C$2))</f>
        <v>39</v>
      </c>
      <c r="B94" s="4">
        <f t="shared" ca="1" si="1"/>
        <v>1</v>
      </c>
    </row>
    <row r="95" spans="1:2" x14ac:dyDescent="0.25">
      <c r="A95" s="4">
        <f ca="1">INT(_xlfn.NORM.INV(RAND(),Parameters!$B$2,Parameters!$C$2))</f>
        <v>38</v>
      </c>
      <c r="B95" s="4">
        <f t="shared" ca="1" si="1"/>
        <v>4</v>
      </c>
    </row>
    <row r="96" spans="1:2" x14ac:dyDescent="0.25">
      <c r="A96" s="4">
        <f ca="1">INT(_xlfn.NORM.INV(RAND(),Parameters!$B$2,Parameters!$C$2))</f>
        <v>39</v>
      </c>
      <c r="B96" s="4">
        <f t="shared" ca="1" si="1"/>
        <v>2</v>
      </c>
    </row>
    <row r="97" spans="1:2" x14ac:dyDescent="0.25">
      <c r="A97" s="4">
        <f ca="1">INT(_xlfn.NORM.INV(RAND(),Parameters!$B$2,Parameters!$C$2))</f>
        <v>42</v>
      </c>
      <c r="B97" s="4">
        <f t="shared" ca="1" si="1"/>
        <v>4</v>
      </c>
    </row>
    <row r="98" spans="1:2" x14ac:dyDescent="0.25">
      <c r="A98" s="4">
        <f ca="1">INT(_xlfn.NORM.INV(RAND(),Parameters!$B$2,Parameters!$C$2))</f>
        <v>41</v>
      </c>
      <c r="B98" s="4">
        <f t="shared" ca="1" si="1"/>
        <v>4</v>
      </c>
    </row>
    <row r="99" spans="1:2" x14ac:dyDescent="0.25">
      <c r="A99" s="4">
        <f ca="1">INT(_xlfn.NORM.INV(RAND(),Parameters!$B$2,Parameters!$C$2))</f>
        <v>44</v>
      </c>
      <c r="B99" s="4">
        <f t="shared" ca="1" si="1"/>
        <v>2</v>
      </c>
    </row>
    <row r="100" spans="1:2" x14ac:dyDescent="0.25">
      <c r="A100" s="4">
        <f ca="1">INT(_xlfn.NORM.INV(RAND(),Parameters!$B$2,Parameters!$C$2))</f>
        <v>31</v>
      </c>
      <c r="B100" s="4">
        <f t="shared" ca="1" si="1"/>
        <v>4</v>
      </c>
    </row>
    <row r="101" spans="1:2" x14ac:dyDescent="0.25">
      <c r="A101" s="4">
        <f ca="1">INT(_xlfn.NORM.INV(RAND(),Parameters!$B$2,Parameters!$C$2))</f>
        <v>46</v>
      </c>
      <c r="B101" s="4">
        <f t="shared" ca="1" si="1"/>
        <v>3</v>
      </c>
    </row>
    <row r="102" spans="1:2" x14ac:dyDescent="0.25">
      <c r="A102" s="4">
        <f ca="1">INT(_xlfn.NORM.INV(RAND(),Parameters!$B$2,Parameters!$C$2))</f>
        <v>41</v>
      </c>
      <c r="B102" s="4">
        <f t="shared" ca="1" si="1"/>
        <v>1</v>
      </c>
    </row>
    <row r="103" spans="1:2" x14ac:dyDescent="0.25">
      <c r="A103" s="4">
        <f ca="1">INT(_xlfn.NORM.INV(RAND(),Parameters!$B$2,Parameters!$C$2))</f>
        <v>37</v>
      </c>
      <c r="B103" s="4">
        <f t="shared" ca="1" si="1"/>
        <v>4</v>
      </c>
    </row>
    <row r="104" spans="1:2" x14ac:dyDescent="0.25">
      <c r="A104" s="4">
        <f ca="1">INT(_xlfn.NORM.INV(RAND(),Parameters!$B$2,Parameters!$C$2))</f>
        <v>39</v>
      </c>
      <c r="B104" s="4">
        <f t="shared" ca="1" si="1"/>
        <v>3</v>
      </c>
    </row>
    <row r="105" spans="1:2" x14ac:dyDescent="0.25">
      <c r="A105" s="4">
        <f ca="1">INT(_xlfn.NORM.INV(RAND(),Parameters!$B$2,Parameters!$C$2))</f>
        <v>37</v>
      </c>
      <c r="B105" s="4">
        <f t="shared" ca="1" si="1"/>
        <v>2</v>
      </c>
    </row>
    <row r="106" spans="1:2" x14ac:dyDescent="0.25">
      <c r="A106" s="4">
        <f ca="1">INT(_xlfn.NORM.INV(RAND(),Parameters!$B$2,Parameters!$C$2))</f>
        <v>40</v>
      </c>
      <c r="B106" s="4">
        <f t="shared" ca="1" si="1"/>
        <v>4</v>
      </c>
    </row>
    <row r="107" spans="1:2" x14ac:dyDescent="0.25">
      <c r="A107" s="4">
        <f ca="1">INT(_xlfn.NORM.INV(RAND(),Parameters!$B$2,Parameters!$C$2))</f>
        <v>40</v>
      </c>
      <c r="B107" s="4">
        <f t="shared" ca="1" si="1"/>
        <v>2</v>
      </c>
    </row>
    <row r="108" spans="1:2" x14ac:dyDescent="0.25">
      <c r="A108" s="4">
        <f ca="1">INT(_xlfn.NORM.INV(RAND(),Parameters!$B$2,Parameters!$C$2))</f>
        <v>36</v>
      </c>
      <c r="B108" s="4">
        <f t="shared" ca="1" si="1"/>
        <v>4</v>
      </c>
    </row>
    <row r="109" spans="1:2" x14ac:dyDescent="0.25">
      <c r="A109" s="4">
        <f ca="1">INT(_xlfn.NORM.INV(RAND(),Parameters!$B$2,Parameters!$C$2))</f>
        <v>36</v>
      </c>
      <c r="B109" s="4">
        <f t="shared" ca="1" si="1"/>
        <v>1</v>
      </c>
    </row>
    <row r="110" spans="1:2" x14ac:dyDescent="0.25">
      <c r="A110" s="4">
        <f ca="1">INT(_xlfn.NORM.INV(RAND(),Parameters!$B$2,Parameters!$C$2))</f>
        <v>37</v>
      </c>
      <c r="B110" s="4">
        <f t="shared" ca="1" si="1"/>
        <v>1</v>
      </c>
    </row>
    <row r="111" spans="1:2" x14ac:dyDescent="0.25">
      <c r="A111" s="4">
        <f ca="1">INT(_xlfn.NORM.INV(RAND(),Parameters!$B$2,Parameters!$C$2))</f>
        <v>41</v>
      </c>
      <c r="B111" s="4">
        <f t="shared" ca="1" si="1"/>
        <v>4</v>
      </c>
    </row>
    <row r="112" spans="1:2" x14ac:dyDescent="0.25">
      <c r="A112" s="4">
        <f ca="1">INT(_xlfn.NORM.INV(RAND(),Parameters!$B$2,Parameters!$C$2))</f>
        <v>41</v>
      </c>
      <c r="B112" s="4">
        <f t="shared" ca="1" si="1"/>
        <v>4</v>
      </c>
    </row>
    <row r="113" spans="1:2" x14ac:dyDescent="0.25">
      <c r="A113" s="4">
        <f ca="1">INT(_xlfn.NORM.INV(RAND(),Parameters!$B$2,Parameters!$C$2))</f>
        <v>42</v>
      </c>
      <c r="B113" s="4">
        <f t="shared" ca="1" si="1"/>
        <v>1</v>
      </c>
    </row>
    <row r="114" spans="1:2" x14ac:dyDescent="0.25">
      <c r="A114" s="4">
        <f ca="1">INT(_xlfn.NORM.INV(RAND(),Parameters!$B$2,Parameters!$C$2))</f>
        <v>36</v>
      </c>
      <c r="B114" s="4">
        <f t="shared" ca="1" si="1"/>
        <v>4</v>
      </c>
    </row>
    <row r="115" spans="1:2" x14ac:dyDescent="0.25">
      <c r="A115" s="4">
        <f ca="1">INT(_xlfn.NORM.INV(RAND(),Parameters!$B$2,Parameters!$C$2))</f>
        <v>36</v>
      </c>
      <c r="B115" s="4">
        <f t="shared" ca="1" si="1"/>
        <v>4</v>
      </c>
    </row>
    <row r="116" spans="1:2" x14ac:dyDescent="0.25">
      <c r="A116" s="4">
        <f ca="1">INT(_xlfn.NORM.INV(RAND(),Parameters!$B$2,Parameters!$C$2))</f>
        <v>44</v>
      </c>
      <c r="B116" s="4">
        <f t="shared" ca="1" si="1"/>
        <v>2</v>
      </c>
    </row>
    <row r="117" spans="1:2" x14ac:dyDescent="0.25">
      <c r="A117" s="4">
        <f ca="1">INT(_xlfn.NORM.INV(RAND(),Parameters!$B$2,Parameters!$C$2))</f>
        <v>33</v>
      </c>
      <c r="B117" s="4">
        <f t="shared" ca="1" si="1"/>
        <v>1</v>
      </c>
    </row>
    <row r="118" spans="1:2" x14ac:dyDescent="0.25">
      <c r="A118" s="4">
        <f ca="1">INT(_xlfn.NORM.INV(RAND(),Parameters!$B$2,Parameters!$C$2))</f>
        <v>42</v>
      </c>
      <c r="B118" s="4">
        <f t="shared" ca="1" si="1"/>
        <v>3</v>
      </c>
    </row>
    <row r="119" spans="1:2" x14ac:dyDescent="0.25">
      <c r="A119" s="4">
        <f ca="1">INT(_xlfn.NORM.INV(RAND(),Parameters!$B$2,Parameters!$C$2))</f>
        <v>39</v>
      </c>
      <c r="B119" s="4">
        <f t="shared" ca="1" si="1"/>
        <v>1</v>
      </c>
    </row>
    <row r="120" spans="1:2" x14ac:dyDescent="0.25">
      <c r="A120" s="4">
        <f ca="1">INT(_xlfn.NORM.INV(RAND(),Parameters!$B$2,Parameters!$C$2))</f>
        <v>45</v>
      </c>
      <c r="B120" s="4">
        <f t="shared" ca="1" si="1"/>
        <v>3</v>
      </c>
    </row>
    <row r="121" spans="1:2" x14ac:dyDescent="0.25">
      <c r="A121" s="4">
        <f ca="1">INT(_xlfn.NORM.INV(RAND(),Parameters!$B$2,Parameters!$C$2))</f>
        <v>39</v>
      </c>
      <c r="B121" s="4">
        <f t="shared" ca="1" si="1"/>
        <v>4</v>
      </c>
    </row>
    <row r="122" spans="1:2" x14ac:dyDescent="0.25">
      <c r="A122" s="4">
        <f ca="1">INT(_xlfn.NORM.INV(RAND(),Parameters!$B$2,Parameters!$C$2))</f>
        <v>29</v>
      </c>
      <c r="B122" s="4">
        <f t="shared" ca="1" si="1"/>
        <v>2</v>
      </c>
    </row>
    <row r="123" spans="1:2" x14ac:dyDescent="0.25">
      <c r="A123" s="4">
        <f ca="1">INT(_xlfn.NORM.INV(RAND(),Parameters!$B$2,Parameters!$C$2))</f>
        <v>41</v>
      </c>
      <c r="B123" s="4">
        <f t="shared" ca="1" si="1"/>
        <v>4</v>
      </c>
    </row>
    <row r="124" spans="1:2" x14ac:dyDescent="0.25">
      <c r="A124" s="4">
        <f ca="1">INT(_xlfn.NORM.INV(RAND(),Parameters!$B$2,Parameters!$C$2))</f>
        <v>40</v>
      </c>
      <c r="B124" s="4">
        <f t="shared" ca="1" si="1"/>
        <v>3</v>
      </c>
    </row>
    <row r="125" spans="1:2" x14ac:dyDescent="0.25">
      <c r="A125" s="4">
        <f ca="1">INT(_xlfn.NORM.INV(RAND(),Parameters!$B$2,Parameters!$C$2))</f>
        <v>35</v>
      </c>
      <c r="B125" s="4">
        <f t="shared" ca="1" si="1"/>
        <v>1</v>
      </c>
    </row>
    <row r="126" spans="1:2" x14ac:dyDescent="0.25">
      <c r="A126" s="4">
        <f ca="1">INT(_xlfn.NORM.INV(RAND(),Parameters!$B$2,Parameters!$C$2))</f>
        <v>41</v>
      </c>
      <c r="B126" s="4">
        <f t="shared" ca="1" si="1"/>
        <v>3</v>
      </c>
    </row>
    <row r="127" spans="1:2" x14ac:dyDescent="0.25">
      <c r="A127" s="4">
        <f ca="1">INT(_xlfn.NORM.INV(RAND(),Parameters!$B$2,Parameters!$C$2))</f>
        <v>43</v>
      </c>
      <c r="B127" s="4">
        <f t="shared" ca="1" si="1"/>
        <v>1</v>
      </c>
    </row>
    <row r="128" spans="1:2" x14ac:dyDescent="0.25">
      <c r="A128" s="4">
        <f ca="1">INT(_xlfn.NORM.INV(RAND(),Parameters!$B$2,Parameters!$C$2))</f>
        <v>42</v>
      </c>
      <c r="B128" s="4">
        <f t="shared" ca="1" si="1"/>
        <v>2</v>
      </c>
    </row>
    <row r="129" spans="1:2" x14ac:dyDescent="0.25">
      <c r="A129" s="4">
        <f ca="1">INT(_xlfn.NORM.INV(RAND(),Parameters!$B$2,Parameters!$C$2))</f>
        <v>41</v>
      </c>
      <c r="B129" s="4">
        <f t="shared" ca="1" si="1"/>
        <v>1</v>
      </c>
    </row>
    <row r="130" spans="1:2" x14ac:dyDescent="0.25">
      <c r="A130" s="4">
        <f ca="1">INT(_xlfn.NORM.INV(RAND(),Parameters!$B$2,Parameters!$C$2))</f>
        <v>44</v>
      </c>
      <c r="B130" s="4">
        <f t="shared" ref="B130:B193" ca="1" si="2">RANDBETWEEN(1,4)</f>
        <v>2</v>
      </c>
    </row>
    <row r="131" spans="1:2" x14ac:dyDescent="0.25">
      <c r="A131" s="4">
        <f ca="1">INT(_xlfn.NORM.INV(RAND(),Parameters!$B$2,Parameters!$C$2))</f>
        <v>46</v>
      </c>
      <c r="B131" s="4">
        <f t="shared" ca="1" si="2"/>
        <v>1</v>
      </c>
    </row>
    <row r="132" spans="1:2" x14ac:dyDescent="0.25">
      <c r="A132" s="4">
        <f ca="1">INT(_xlfn.NORM.INV(RAND(),Parameters!$B$2,Parameters!$C$2))</f>
        <v>38</v>
      </c>
      <c r="B132" s="4">
        <f t="shared" ca="1" si="2"/>
        <v>4</v>
      </c>
    </row>
    <row r="133" spans="1:2" x14ac:dyDescent="0.25">
      <c r="A133" s="4">
        <f ca="1">INT(_xlfn.NORM.INV(RAND(),Parameters!$B$2,Parameters!$C$2))</f>
        <v>41</v>
      </c>
      <c r="B133" s="4">
        <f t="shared" ca="1" si="2"/>
        <v>2</v>
      </c>
    </row>
    <row r="134" spans="1:2" x14ac:dyDescent="0.25">
      <c r="A134" s="4">
        <f ca="1">INT(_xlfn.NORM.INV(RAND(),Parameters!$B$2,Parameters!$C$2))</f>
        <v>39</v>
      </c>
      <c r="B134" s="4">
        <f t="shared" ca="1" si="2"/>
        <v>1</v>
      </c>
    </row>
    <row r="135" spans="1:2" x14ac:dyDescent="0.25">
      <c r="A135" s="4">
        <f ca="1">INT(_xlfn.NORM.INV(RAND(),Parameters!$B$2,Parameters!$C$2))</f>
        <v>38</v>
      </c>
      <c r="B135" s="4">
        <f t="shared" ca="1" si="2"/>
        <v>3</v>
      </c>
    </row>
    <row r="136" spans="1:2" x14ac:dyDescent="0.25">
      <c r="A136" s="4">
        <f ca="1">INT(_xlfn.NORM.INV(RAND(),Parameters!$B$2,Parameters!$C$2))</f>
        <v>38</v>
      </c>
      <c r="B136" s="4">
        <f t="shared" ca="1" si="2"/>
        <v>4</v>
      </c>
    </row>
    <row r="137" spans="1:2" x14ac:dyDescent="0.25">
      <c r="A137" s="4">
        <f ca="1">INT(_xlfn.NORM.INV(RAND(),Parameters!$B$2,Parameters!$C$2))</f>
        <v>44</v>
      </c>
      <c r="B137" s="4">
        <f t="shared" ca="1" si="2"/>
        <v>2</v>
      </c>
    </row>
    <row r="138" spans="1:2" x14ac:dyDescent="0.25">
      <c r="A138" s="4">
        <f ca="1">INT(_xlfn.NORM.INV(RAND(),Parameters!$B$2,Parameters!$C$2))</f>
        <v>44</v>
      </c>
      <c r="B138" s="4">
        <f t="shared" ca="1" si="2"/>
        <v>1</v>
      </c>
    </row>
    <row r="139" spans="1:2" x14ac:dyDescent="0.25">
      <c r="A139" s="4">
        <f ca="1">INT(_xlfn.NORM.INV(RAND(),Parameters!$B$2,Parameters!$C$2))</f>
        <v>40</v>
      </c>
      <c r="B139" s="4">
        <f t="shared" ca="1" si="2"/>
        <v>2</v>
      </c>
    </row>
    <row r="140" spans="1:2" x14ac:dyDescent="0.25">
      <c r="A140" s="4">
        <f ca="1">INT(_xlfn.NORM.INV(RAND(),Parameters!$B$2,Parameters!$C$2))</f>
        <v>41</v>
      </c>
      <c r="B140" s="4">
        <f t="shared" ca="1" si="2"/>
        <v>4</v>
      </c>
    </row>
    <row r="141" spans="1:2" x14ac:dyDescent="0.25">
      <c r="A141" s="4">
        <f ca="1">INT(_xlfn.NORM.INV(RAND(),Parameters!$B$2,Parameters!$C$2))</f>
        <v>43</v>
      </c>
      <c r="B141" s="4">
        <f t="shared" ca="1" si="2"/>
        <v>4</v>
      </c>
    </row>
    <row r="142" spans="1:2" x14ac:dyDescent="0.25">
      <c r="A142" s="4">
        <f ca="1">INT(_xlfn.NORM.INV(RAND(),Parameters!$B$2,Parameters!$C$2))</f>
        <v>37</v>
      </c>
      <c r="B142" s="4">
        <f t="shared" ca="1" si="2"/>
        <v>4</v>
      </c>
    </row>
    <row r="143" spans="1:2" x14ac:dyDescent="0.25">
      <c r="A143" s="4">
        <f ca="1">INT(_xlfn.NORM.INV(RAND(),Parameters!$B$2,Parameters!$C$2))</f>
        <v>43</v>
      </c>
      <c r="B143" s="4">
        <f t="shared" ca="1" si="2"/>
        <v>1</v>
      </c>
    </row>
    <row r="144" spans="1:2" x14ac:dyDescent="0.25">
      <c r="A144" s="4">
        <f ca="1">INT(_xlfn.NORM.INV(RAND(),Parameters!$B$2,Parameters!$C$2))</f>
        <v>41</v>
      </c>
      <c r="B144" s="4">
        <f t="shared" ca="1" si="2"/>
        <v>3</v>
      </c>
    </row>
    <row r="145" spans="1:2" x14ac:dyDescent="0.25">
      <c r="A145" s="4">
        <f ca="1">INT(_xlfn.NORM.INV(RAND(),Parameters!$B$2,Parameters!$C$2))</f>
        <v>43</v>
      </c>
      <c r="B145" s="4">
        <f t="shared" ca="1" si="2"/>
        <v>4</v>
      </c>
    </row>
    <row r="146" spans="1:2" x14ac:dyDescent="0.25">
      <c r="A146" s="4">
        <f ca="1">INT(_xlfn.NORM.INV(RAND(),Parameters!$B$2,Parameters!$C$2))</f>
        <v>47</v>
      </c>
      <c r="B146" s="4">
        <f t="shared" ca="1" si="2"/>
        <v>4</v>
      </c>
    </row>
    <row r="147" spans="1:2" x14ac:dyDescent="0.25">
      <c r="A147" s="4">
        <f ca="1">INT(_xlfn.NORM.INV(RAND(),Parameters!$B$2,Parameters!$C$2))</f>
        <v>42</v>
      </c>
      <c r="B147" s="4">
        <f t="shared" ca="1" si="2"/>
        <v>4</v>
      </c>
    </row>
    <row r="148" spans="1:2" x14ac:dyDescent="0.25">
      <c r="A148" s="4">
        <f ca="1">INT(_xlfn.NORM.INV(RAND(),Parameters!$B$2,Parameters!$C$2))</f>
        <v>40</v>
      </c>
      <c r="B148" s="4">
        <f t="shared" ca="1" si="2"/>
        <v>1</v>
      </c>
    </row>
    <row r="149" spans="1:2" x14ac:dyDescent="0.25">
      <c r="A149" s="4">
        <f ca="1">INT(_xlfn.NORM.INV(RAND(),Parameters!$B$2,Parameters!$C$2))</f>
        <v>34</v>
      </c>
      <c r="B149" s="4">
        <f t="shared" ca="1" si="2"/>
        <v>1</v>
      </c>
    </row>
    <row r="150" spans="1:2" x14ac:dyDescent="0.25">
      <c r="A150" s="4">
        <f ca="1">INT(_xlfn.NORM.INV(RAND(),Parameters!$B$2,Parameters!$C$2))</f>
        <v>45</v>
      </c>
      <c r="B150" s="4">
        <f t="shared" ca="1" si="2"/>
        <v>4</v>
      </c>
    </row>
    <row r="151" spans="1:2" x14ac:dyDescent="0.25">
      <c r="A151" s="4">
        <f ca="1">INT(_xlfn.NORM.INV(RAND(),Parameters!$B$2,Parameters!$C$2))</f>
        <v>39</v>
      </c>
      <c r="B151" s="4">
        <f t="shared" ca="1" si="2"/>
        <v>3</v>
      </c>
    </row>
    <row r="152" spans="1:2" x14ac:dyDescent="0.25">
      <c r="A152" s="4">
        <f ca="1">INT(_xlfn.NORM.INV(RAND(),Parameters!$B$2,Parameters!$C$2))</f>
        <v>44</v>
      </c>
      <c r="B152" s="4">
        <f t="shared" ca="1" si="2"/>
        <v>2</v>
      </c>
    </row>
    <row r="153" spans="1:2" x14ac:dyDescent="0.25">
      <c r="A153" s="4">
        <f ca="1">INT(_xlfn.NORM.INV(RAND(),Parameters!$B$2,Parameters!$C$2))</f>
        <v>42</v>
      </c>
      <c r="B153" s="4">
        <f t="shared" ca="1" si="2"/>
        <v>2</v>
      </c>
    </row>
    <row r="154" spans="1:2" x14ac:dyDescent="0.25">
      <c r="A154" s="4">
        <f ca="1">INT(_xlfn.NORM.INV(RAND(),Parameters!$B$2,Parameters!$C$2))</f>
        <v>38</v>
      </c>
      <c r="B154" s="4">
        <f t="shared" ca="1" si="2"/>
        <v>1</v>
      </c>
    </row>
    <row r="155" spans="1:2" x14ac:dyDescent="0.25">
      <c r="A155" s="4">
        <f ca="1">INT(_xlfn.NORM.INV(RAND(),Parameters!$B$2,Parameters!$C$2))</f>
        <v>38</v>
      </c>
      <c r="B155" s="4">
        <f t="shared" ca="1" si="2"/>
        <v>3</v>
      </c>
    </row>
    <row r="156" spans="1:2" x14ac:dyDescent="0.25">
      <c r="A156" s="4">
        <f ca="1">INT(_xlfn.NORM.INV(RAND(),Parameters!$B$2,Parameters!$C$2))</f>
        <v>39</v>
      </c>
      <c r="B156" s="4">
        <f t="shared" ca="1" si="2"/>
        <v>4</v>
      </c>
    </row>
    <row r="157" spans="1:2" x14ac:dyDescent="0.25">
      <c r="A157" s="4">
        <f ca="1">INT(_xlfn.NORM.INV(RAND(),Parameters!$B$2,Parameters!$C$2))</f>
        <v>34</v>
      </c>
      <c r="B157" s="4">
        <f t="shared" ca="1" si="2"/>
        <v>3</v>
      </c>
    </row>
    <row r="158" spans="1:2" x14ac:dyDescent="0.25">
      <c r="A158" s="4">
        <f ca="1">INT(_xlfn.NORM.INV(RAND(),Parameters!$B$2,Parameters!$C$2))</f>
        <v>43</v>
      </c>
      <c r="B158" s="4">
        <f t="shared" ca="1" si="2"/>
        <v>3</v>
      </c>
    </row>
    <row r="159" spans="1:2" x14ac:dyDescent="0.25">
      <c r="A159" s="4">
        <f ca="1">INT(_xlfn.NORM.INV(RAND(),Parameters!$B$2,Parameters!$C$2))</f>
        <v>41</v>
      </c>
      <c r="B159" s="4">
        <f t="shared" ca="1" si="2"/>
        <v>4</v>
      </c>
    </row>
    <row r="160" spans="1:2" x14ac:dyDescent="0.25">
      <c r="A160" s="4">
        <f ca="1">INT(_xlfn.NORM.INV(RAND(),Parameters!$B$2,Parameters!$C$2))</f>
        <v>40</v>
      </c>
      <c r="B160" s="4">
        <f t="shared" ca="1" si="2"/>
        <v>2</v>
      </c>
    </row>
    <row r="161" spans="1:2" x14ac:dyDescent="0.25">
      <c r="A161" s="4">
        <f ca="1">INT(_xlfn.NORM.INV(RAND(),Parameters!$B$2,Parameters!$C$2))</f>
        <v>36</v>
      </c>
      <c r="B161" s="4">
        <f t="shared" ca="1" si="2"/>
        <v>3</v>
      </c>
    </row>
    <row r="162" spans="1:2" x14ac:dyDescent="0.25">
      <c r="A162" s="4">
        <f ca="1">INT(_xlfn.NORM.INV(RAND(),Parameters!$B$2,Parameters!$C$2))</f>
        <v>40</v>
      </c>
      <c r="B162" s="4">
        <f t="shared" ca="1" si="2"/>
        <v>2</v>
      </c>
    </row>
    <row r="163" spans="1:2" x14ac:dyDescent="0.25">
      <c r="A163" s="4">
        <f ca="1">INT(_xlfn.NORM.INV(RAND(),Parameters!$B$2,Parameters!$C$2))</f>
        <v>36</v>
      </c>
      <c r="B163" s="4">
        <f t="shared" ca="1" si="2"/>
        <v>1</v>
      </c>
    </row>
    <row r="164" spans="1:2" x14ac:dyDescent="0.25">
      <c r="A164" s="4">
        <f ca="1">INT(_xlfn.NORM.INV(RAND(),Parameters!$B$2,Parameters!$C$2))</f>
        <v>41</v>
      </c>
      <c r="B164" s="4">
        <f t="shared" ca="1" si="2"/>
        <v>4</v>
      </c>
    </row>
    <row r="165" spans="1:2" x14ac:dyDescent="0.25">
      <c r="A165" s="4">
        <f ca="1">INT(_xlfn.NORM.INV(RAND(),Parameters!$B$2,Parameters!$C$2))</f>
        <v>42</v>
      </c>
      <c r="B165" s="4">
        <f t="shared" ca="1" si="2"/>
        <v>3</v>
      </c>
    </row>
    <row r="166" spans="1:2" x14ac:dyDescent="0.25">
      <c r="A166" s="4">
        <f ca="1">INT(_xlfn.NORM.INV(RAND(),Parameters!$B$2,Parameters!$C$2))</f>
        <v>41</v>
      </c>
      <c r="B166" s="4">
        <f t="shared" ca="1" si="2"/>
        <v>4</v>
      </c>
    </row>
    <row r="167" spans="1:2" x14ac:dyDescent="0.25">
      <c r="A167" s="4">
        <f ca="1">INT(_xlfn.NORM.INV(RAND(),Parameters!$B$2,Parameters!$C$2))</f>
        <v>39</v>
      </c>
      <c r="B167" s="4">
        <f t="shared" ca="1" si="2"/>
        <v>3</v>
      </c>
    </row>
    <row r="168" spans="1:2" x14ac:dyDescent="0.25">
      <c r="A168" s="4">
        <f ca="1">INT(_xlfn.NORM.INV(RAND(),Parameters!$B$2,Parameters!$C$2))</f>
        <v>42</v>
      </c>
      <c r="B168" s="4">
        <f t="shared" ca="1" si="2"/>
        <v>4</v>
      </c>
    </row>
    <row r="169" spans="1:2" x14ac:dyDescent="0.25">
      <c r="A169" s="4">
        <f ca="1">INT(_xlfn.NORM.INV(RAND(),Parameters!$B$2,Parameters!$C$2))</f>
        <v>41</v>
      </c>
      <c r="B169" s="4">
        <f t="shared" ca="1" si="2"/>
        <v>2</v>
      </c>
    </row>
    <row r="170" spans="1:2" x14ac:dyDescent="0.25">
      <c r="A170" s="4">
        <f ca="1">INT(_xlfn.NORM.INV(RAND(),Parameters!$B$2,Parameters!$C$2))</f>
        <v>38</v>
      </c>
      <c r="B170" s="4">
        <f t="shared" ca="1" si="2"/>
        <v>1</v>
      </c>
    </row>
    <row r="171" spans="1:2" x14ac:dyDescent="0.25">
      <c r="A171" s="4">
        <f ca="1">INT(_xlfn.NORM.INV(RAND(),Parameters!$B$2,Parameters!$C$2))</f>
        <v>42</v>
      </c>
      <c r="B171" s="4">
        <f t="shared" ca="1" si="2"/>
        <v>2</v>
      </c>
    </row>
    <row r="172" spans="1:2" x14ac:dyDescent="0.25">
      <c r="A172" s="4">
        <f ca="1">INT(_xlfn.NORM.INV(RAND(),Parameters!$B$2,Parameters!$C$2))</f>
        <v>47</v>
      </c>
      <c r="B172" s="4">
        <f t="shared" ca="1" si="2"/>
        <v>4</v>
      </c>
    </row>
    <row r="173" spans="1:2" x14ac:dyDescent="0.25">
      <c r="A173" s="4">
        <f ca="1">INT(_xlfn.NORM.INV(RAND(),Parameters!$B$2,Parameters!$C$2))</f>
        <v>38</v>
      </c>
      <c r="B173" s="4">
        <f t="shared" ca="1" si="2"/>
        <v>4</v>
      </c>
    </row>
    <row r="174" spans="1:2" x14ac:dyDescent="0.25">
      <c r="A174" s="4">
        <f ca="1">INT(_xlfn.NORM.INV(RAND(),Parameters!$B$2,Parameters!$C$2))</f>
        <v>39</v>
      </c>
      <c r="B174" s="4">
        <f t="shared" ca="1" si="2"/>
        <v>1</v>
      </c>
    </row>
    <row r="175" spans="1:2" x14ac:dyDescent="0.25">
      <c r="A175" s="4">
        <f ca="1">INT(_xlfn.NORM.INV(RAND(),Parameters!$B$2,Parameters!$C$2))</f>
        <v>33</v>
      </c>
      <c r="B175" s="4">
        <f t="shared" ca="1" si="2"/>
        <v>2</v>
      </c>
    </row>
    <row r="176" spans="1:2" x14ac:dyDescent="0.25">
      <c r="A176" s="4">
        <f ca="1">INT(_xlfn.NORM.INV(RAND(),Parameters!$B$2,Parameters!$C$2))</f>
        <v>34</v>
      </c>
      <c r="B176" s="4">
        <f t="shared" ca="1" si="2"/>
        <v>1</v>
      </c>
    </row>
    <row r="177" spans="1:2" x14ac:dyDescent="0.25">
      <c r="A177" s="4">
        <f ca="1">INT(_xlfn.NORM.INV(RAND(),Parameters!$B$2,Parameters!$C$2))</f>
        <v>38</v>
      </c>
      <c r="B177" s="4">
        <f t="shared" ca="1" si="2"/>
        <v>1</v>
      </c>
    </row>
    <row r="178" spans="1:2" x14ac:dyDescent="0.25">
      <c r="A178" s="4">
        <f ca="1">INT(_xlfn.NORM.INV(RAND(),Parameters!$B$2,Parameters!$C$2))</f>
        <v>40</v>
      </c>
      <c r="B178" s="4">
        <f t="shared" ca="1" si="2"/>
        <v>4</v>
      </c>
    </row>
    <row r="179" spans="1:2" x14ac:dyDescent="0.25">
      <c r="A179" s="4">
        <f ca="1">INT(_xlfn.NORM.INV(RAND(),Parameters!$B$2,Parameters!$C$2))</f>
        <v>39</v>
      </c>
      <c r="B179" s="4">
        <f t="shared" ca="1" si="2"/>
        <v>3</v>
      </c>
    </row>
    <row r="180" spans="1:2" x14ac:dyDescent="0.25">
      <c r="A180" s="4">
        <f ca="1">INT(_xlfn.NORM.INV(RAND(),Parameters!$B$2,Parameters!$C$2))</f>
        <v>41</v>
      </c>
      <c r="B180" s="4">
        <f t="shared" ca="1" si="2"/>
        <v>4</v>
      </c>
    </row>
    <row r="181" spans="1:2" x14ac:dyDescent="0.25">
      <c r="A181" s="4">
        <f ca="1">INT(_xlfn.NORM.INV(RAND(),Parameters!$B$2,Parameters!$C$2))</f>
        <v>41</v>
      </c>
      <c r="B181" s="4">
        <f t="shared" ca="1" si="2"/>
        <v>2</v>
      </c>
    </row>
    <row r="182" spans="1:2" x14ac:dyDescent="0.25">
      <c r="A182" s="4">
        <f ca="1">INT(_xlfn.NORM.INV(RAND(),Parameters!$B$2,Parameters!$C$2))</f>
        <v>38</v>
      </c>
      <c r="B182" s="4">
        <f t="shared" ca="1" si="2"/>
        <v>2</v>
      </c>
    </row>
    <row r="183" spans="1:2" x14ac:dyDescent="0.25">
      <c r="A183" s="4">
        <f ca="1">INT(_xlfn.NORM.INV(RAND(),Parameters!$B$2,Parameters!$C$2))</f>
        <v>42</v>
      </c>
      <c r="B183" s="4">
        <f t="shared" ca="1" si="2"/>
        <v>1</v>
      </c>
    </row>
    <row r="184" spans="1:2" x14ac:dyDescent="0.25">
      <c r="A184" s="4">
        <f ca="1">INT(_xlfn.NORM.INV(RAND(),Parameters!$B$2,Parameters!$C$2))</f>
        <v>40</v>
      </c>
      <c r="B184" s="4">
        <f t="shared" ca="1" si="2"/>
        <v>1</v>
      </c>
    </row>
    <row r="185" spans="1:2" x14ac:dyDescent="0.25">
      <c r="A185" s="4">
        <f ca="1">INT(_xlfn.NORM.INV(RAND(),Parameters!$B$2,Parameters!$C$2))</f>
        <v>37</v>
      </c>
      <c r="B185" s="4">
        <f t="shared" ca="1" si="2"/>
        <v>1</v>
      </c>
    </row>
    <row r="186" spans="1:2" x14ac:dyDescent="0.25">
      <c r="A186" s="4">
        <f ca="1">INT(_xlfn.NORM.INV(RAND(),Parameters!$B$2,Parameters!$C$2))</f>
        <v>37</v>
      </c>
      <c r="B186" s="4">
        <f t="shared" ca="1" si="2"/>
        <v>2</v>
      </c>
    </row>
    <row r="187" spans="1:2" x14ac:dyDescent="0.25">
      <c r="A187" s="4">
        <f ca="1">INT(_xlfn.NORM.INV(RAND(),Parameters!$B$2,Parameters!$C$2))</f>
        <v>36</v>
      </c>
      <c r="B187" s="4">
        <f t="shared" ca="1" si="2"/>
        <v>2</v>
      </c>
    </row>
    <row r="188" spans="1:2" x14ac:dyDescent="0.25">
      <c r="A188" s="4">
        <f ca="1">INT(_xlfn.NORM.INV(RAND(),Parameters!$B$2,Parameters!$C$2))</f>
        <v>36</v>
      </c>
      <c r="B188" s="4">
        <f t="shared" ca="1" si="2"/>
        <v>2</v>
      </c>
    </row>
    <row r="189" spans="1:2" x14ac:dyDescent="0.25">
      <c r="A189" s="4">
        <f ca="1">INT(_xlfn.NORM.INV(RAND(),Parameters!$B$2,Parameters!$C$2))</f>
        <v>38</v>
      </c>
      <c r="B189" s="4">
        <f t="shared" ca="1" si="2"/>
        <v>3</v>
      </c>
    </row>
    <row r="190" spans="1:2" x14ac:dyDescent="0.25">
      <c r="A190" s="4">
        <f ca="1">INT(_xlfn.NORM.INV(RAND(),Parameters!$B$2,Parameters!$C$2))</f>
        <v>37</v>
      </c>
      <c r="B190" s="4">
        <f t="shared" ca="1" si="2"/>
        <v>4</v>
      </c>
    </row>
    <row r="191" spans="1:2" x14ac:dyDescent="0.25">
      <c r="A191" s="4">
        <f ca="1">INT(_xlfn.NORM.INV(RAND(),Parameters!$B$2,Parameters!$C$2))</f>
        <v>44</v>
      </c>
      <c r="B191" s="4">
        <f t="shared" ca="1" si="2"/>
        <v>4</v>
      </c>
    </row>
    <row r="192" spans="1:2" x14ac:dyDescent="0.25">
      <c r="A192" s="4">
        <f ca="1">INT(_xlfn.NORM.INV(RAND(),Parameters!$B$2,Parameters!$C$2))</f>
        <v>44</v>
      </c>
      <c r="B192" s="4">
        <f t="shared" ca="1" si="2"/>
        <v>2</v>
      </c>
    </row>
    <row r="193" spans="1:2" x14ac:dyDescent="0.25">
      <c r="A193" s="4">
        <f ca="1">INT(_xlfn.NORM.INV(RAND(),Parameters!$B$2,Parameters!$C$2))</f>
        <v>38</v>
      </c>
      <c r="B193" s="4">
        <f t="shared" ca="1" si="2"/>
        <v>3</v>
      </c>
    </row>
    <row r="194" spans="1:2" x14ac:dyDescent="0.25">
      <c r="A194" s="4">
        <f ca="1">INT(_xlfn.NORM.INV(RAND(),Parameters!$B$2,Parameters!$C$2))</f>
        <v>41</v>
      </c>
      <c r="B194" s="4">
        <f t="shared" ref="B194:B251" ca="1" si="3">RANDBETWEEN(1,4)</f>
        <v>3</v>
      </c>
    </row>
    <row r="195" spans="1:2" x14ac:dyDescent="0.25">
      <c r="A195" s="4">
        <f ca="1">INT(_xlfn.NORM.INV(RAND(),Parameters!$B$2,Parameters!$C$2))</f>
        <v>40</v>
      </c>
      <c r="B195" s="4">
        <f t="shared" ca="1" si="3"/>
        <v>4</v>
      </c>
    </row>
    <row r="196" spans="1:2" x14ac:dyDescent="0.25">
      <c r="A196" s="4">
        <f ca="1">INT(_xlfn.NORM.INV(RAND(),Parameters!$B$2,Parameters!$C$2))</f>
        <v>39</v>
      </c>
      <c r="B196" s="4">
        <f t="shared" ca="1" si="3"/>
        <v>3</v>
      </c>
    </row>
    <row r="197" spans="1:2" x14ac:dyDescent="0.25">
      <c r="A197" s="4">
        <f ca="1">INT(_xlfn.NORM.INV(RAND(),Parameters!$B$2,Parameters!$C$2))</f>
        <v>36</v>
      </c>
      <c r="B197" s="4">
        <f t="shared" ca="1" si="3"/>
        <v>4</v>
      </c>
    </row>
    <row r="198" spans="1:2" x14ac:dyDescent="0.25">
      <c r="A198" s="4">
        <f ca="1">INT(_xlfn.NORM.INV(RAND(),Parameters!$B$2,Parameters!$C$2))</f>
        <v>45</v>
      </c>
      <c r="B198" s="4">
        <f t="shared" ca="1" si="3"/>
        <v>1</v>
      </c>
    </row>
    <row r="199" spans="1:2" x14ac:dyDescent="0.25">
      <c r="A199" s="4">
        <f ca="1">INT(_xlfn.NORM.INV(RAND(),Parameters!$B$2,Parameters!$C$2))</f>
        <v>47</v>
      </c>
      <c r="B199" s="4">
        <f t="shared" ca="1" si="3"/>
        <v>4</v>
      </c>
    </row>
    <row r="200" spans="1:2" x14ac:dyDescent="0.25">
      <c r="A200" s="4">
        <f ca="1">INT(_xlfn.NORM.INV(RAND(),Parameters!$B$2,Parameters!$C$2))</f>
        <v>42</v>
      </c>
      <c r="B200" s="4">
        <f t="shared" ca="1" si="3"/>
        <v>4</v>
      </c>
    </row>
    <row r="201" spans="1:2" x14ac:dyDescent="0.25">
      <c r="A201" s="4">
        <f ca="1">INT(_xlfn.NORM.INV(RAND(),Parameters!$B$2,Parameters!$C$2))</f>
        <v>45</v>
      </c>
      <c r="B201" s="4">
        <f t="shared" ca="1" si="3"/>
        <v>4</v>
      </c>
    </row>
    <row r="202" spans="1:2" x14ac:dyDescent="0.25">
      <c r="A202" s="4">
        <f ca="1">INT(_xlfn.NORM.INV(RAND(),Parameters!$B$2,Parameters!$C$2))</f>
        <v>39</v>
      </c>
      <c r="B202" s="4">
        <f t="shared" ca="1" si="3"/>
        <v>3</v>
      </c>
    </row>
    <row r="203" spans="1:2" x14ac:dyDescent="0.25">
      <c r="A203" s="4">
        <f ca="1">INT(_xlfn.NORM.INV(RAND(),Parameters!$B$2,Parameters!$C$2))</f>
        <v>42</v>
      </c>
      <c r="B203" s="4">
        <f t="shared" ca="1" si="3"/>
        <v>3</v>
      </c>
    </row>
    <row r="204" spans="1:2" x14ac:dyDescent="0.25">
      <c r="A204" s="4">
        <f ca="1">INT(_xlfn.NORM.INV(RAND(),Parameters!$B$2,Parameters!$C$2))</f>
        <v>38</v>
      </c>
      <c r="B204" s="4">
        <f t="shared" ca="1" si="3"/>
        <v>1</v>
      </c>
    </row>
    <row r="205" spans="1:2" x14ac:dyDescent="0.25">
      <c r="A205" s="4">
        <f ca="1">INT(_xlfn.NORM.INV(RAND(),Parameters!$B$2,Parameters!$C$2))</f>
        <v>37</v>
      </c>
      <c r="B205" s="4">
        <f t="shared" ca="1" si="3"/>
        <v>2</v>
      </c>
    </row>
    <row r="206" spans="1:2" x14ac:dyDescent="0.25">
      <c r="A206" s="4">
        <f ca="1">INT(_xlfn.NORM.INV(RAND(),Parameters!$B$2,Parameters!$C$2))</f>
        <v>46</v>
      </c>
      <c r="B206" s="4">
        <f t="shared" ca="1" si="3"/>
        <v>4</v>
      </c>
    </row>
    <row r="207" spans="1:2" x14ac:dyDescent="0.25">
      <c r="A207" s="4">
        <f ca="1">INT(_xlfn.NORM.INV(RAND(),Parameters!$B$2,Parameters!$C$2))</f>
        <v>44</v>
      </c>
      <c r="B207" s="4">
        <f t="shared" ca="1" si="3"/>
        <v>1</v>
      </c>
    </row>
    <row r="208" spans="1:2" x14ac:dyDescent="0.25">
      <c r="A208" s="4">
        <f ca="1">INT(_xlfn.NORM.INV(RAND(),Parameters!$B$2,Parameters!$C$2))</f>
        <v>46</v>
      </c>
      <c r="B208" s="4">
        <f t="shared" ca="1" si="3"/>
        <v>2</v>
      </c>
    </row>
    <row r="209" spans="1:2" x14ac:dyDescent="0.25">
      <c r="A209" s="4">
        <f ca="1">INT(_xlfn.NORM.INV(RAND(),Parameters!$B$2,Parameters!$C$2))</f>
        <v>42</v>
      </c>
      <c r="B209" s="4">
        <f t="shared" ca="1" si="3"/>
        <v>3</v>
      </c>
    </row>
    <row r="210" spans="1:2" x14ac:dyDescent="0.25">
      <c r="A210" s="4">
        <f ca="1">INT(_xlfn.NORM.INV(RAND(),Parameters!$B$2,Parameters!$C$2))</f>
        <v>38</v>
      </c>
      <c r="B210" s="4">
        <f t="shared" ca="1" si="3"/>
        <v>1</v>
      </c>
    </row>
    <row r="211" spans="1:2" x14ac:dyDescent="0.25">
      <c r="A211" s="4">
        <f ca="1">INT(_xlfn.NORM.INV(RAND(),Parameters!$B$2,Parameters!$C$2))</f>
        <v>45</v>
      </c>
      <c r="B211" s="4">
        <f t="shared" ca="1" si="3"/>
        <v>4</v>
      </c>
    </row>
    <row r="212" spans="1:2" x14ac:dyDescent="0.25">
      <c r="A212" s="4">
        <f ca="1">INT(_xlfn.NORM.INV(RAND(),Parameters!$B$2,Parameters!$C$2))</f>
        <v>44</v>
      </c>
      <c r="B212" s="4">
        <f t="shared" ca="1" si="3"/>
        <v>1</v>
      </c>
    </row>
    <row r="213" spans="1:2" x14ac:dyDescent="0.25">
      <c r="A213" s="4">
        <f ca="1">INT(_xlfn.NORM.INV(RAND(),Parameters!$B$2,Parameters!$C$2))</f>
        <v>41</v>
      </c>
      <c r="B213" s="4">
        <f t="shared" ca="1" si="3"/>
        <v>2</v>
      </c>
    </row>
    <row r="214" spans="1:2" x14ac:dyDescent="0.25">
      <c r="A214" s="4">
        <f ca="1">INT(_xlfn.NORM.INV(RAND(),Parameters!$B$2,Parameters!$C$2))</f>
        <v>46</v>
      </c>
      <c r="B214" s="4">
        <f t="shared" ca="1" si="3"/>
        <v>1</v>
      </c>
    </row>
    <row r="215" spans="1:2" x14ac:dyDescent="0.25">
      <c r="A215" s="4">
        <f ca="1">INT(_xlfn.NORM.INV(RAND(),Parameters!$B$2,Parameters!$C$2))</f>
        <v>44</v>
      </c>
      <c r="B215" s="4">
        <f t="shared" ca="1" si="3"/>
        <v>2</v>
      </c>
    </row>
    <row r="216" spans="1:2" x14ac:dyDescent="0.25">
      <c r="A216" s="4">
        <f ca="1">INT(_xlfn.NORM.INV(RAND(),Parameters!$B$2,Parameters!$C$2))</f>
        <v>49</v>
      </c>
      <c r="B216" s="4">
        <f t="shared" ca="1" si="3"/>
        <v>3</v>
      </c>
    </row>
    <row r="217" spans="1:2" x14ac:dyDescent="0.25">
      <c r="A217" s="4">
        <f ca="1">INT(_xlfn.NORM.INV(RAND(),Parameters!$B$2,Parameters!$C$2))</f>
        <v>46</v>
      </c>
      <c r="B217" s="4">
        <f t="shared" ca="1" si="3"/>
        <v>4</v>
      </c>
    </row>
    <row r="218" spans="1:2" x14ac:dyDescent="0.25">
      <c r="A218" s="4">
        <f ca="1">INT(_xlfn.NORM.INV(RAND(),Parameters!$B$2,Parameters!$C$2))</f>
        <v>41</v>
      </c>
      <c r="B218" s="4">
        <f t="shared" ca="1" si="3"/>
        <v>2</v>
      </c>
    </row>
    <row r="219" spans="1:2" x14ac:dyDescent="0.25">
      <c r="A219" s="4">
        <f ca="1">INT(_xlfn.NORM.INV(RAND(),Parameters!$B$2,Parameters!$C$2))</f>
        <v>40</v>
      </c>
      <c r="B219" s="4">
        <f t="shared" ca="1" si="3"/>
        <v>2</v>
      </c>
    </row>
    <row r="220" spans="1:2" x14ac:dyDescent="0.25">
      <c r="A220" s="4">
        <f ca="1">INT(_xlfn.NORM.INV(RAND(),Parameters!$B$2,Parameters!$C$2))</f>
        <v>35</v>
      </c>
      <c r="B220" s="4">
        <f t="shared" ca="1" si="3"/>
        <v>4</v>
      </c>
    </row>
    <row r="221" spans="1:2" x14ac:dyDescent="0.25">
      <c r="A221" s="4">
        <f ca="1">INT(_xlfn.NORM.INV(RAND(),Parameters!$B$2,Parameters!$C$2))</f>
        <v>43</v>
      </c>
      <c r="B221" s="4">
        <f t="shared" ca="1" si="3"/>
        <v>4</v>
      </c>
    </row>
    <row r="222" spans="1:2" x14ac:dyDescent="0.25">
      <c r="A222" s="4">
        <f ca="1">INT(_xlfn.NORM.INV(RAND(),Parameters!$B$2,Parameters!$C$2))</f>
        <v>43</v>
      </c>
      <c r="B222" s="4">
        <f t="shared" ca="1" si="3"/>
        <v>3</v>
      </c>
    </row>
    <row r="223" spans="1:2" x14ac:dyDescent="0.25">
      <c r="A223" s="4">
        <f ca="1">INT(_xlfn.NORM.INV(RAND(),Parameters!$B$2,Parameters!$C$2))</f>
        <v>44</v>
      </c>
      <c r="B223" s="4">
        <f t="shared" ca="1" si="3"/>
        <v>4</v>
      </c>
    </row>
    <row r="224" spans="1:2" x14ac:dyDescent="0.25">
      <c r="A224" s="4">
        <f ca="1">INT(_xlfn.NORM.INV(RAND(),Parameters!$B$2,Parameters!$C$2))</f>
        <v>38</v>
      </c>
      <c r="B224" s="4">
        <f t="shared" ca="1" si="3"/>
        <v>4</v>
      </c>
    </row>
    <row r="225" spans="1:2" x14ac:dyDescent="0.25">
      <c r="A225" s="4">
        <f ca="1">INT(_xlfn.NORM.INV(RAND(),Parameters!$B$2,Parameters!$C$2))</f>
        <v>42</v>
      </c>
      <c r="B225" s="4">
        <f t="shared" ca="1" si="3"/>
        <v>3</v>
      </c>
    </row>
    <row r="226" spans="1:2" x14ac:dyDescent="0.25">
      <c r="A226" s="4">
        <f ca="1">INT(_xlfn.NORM.INV(RAND(),Parameters!$B$2,Parameters!$C$2))</f>
        <v>43</v>
      </c>
      <c r="B226" s="4">
        <f t="shared" ca="1" si="3"/>
        <v>4</v>
      </c>
    </row>
    <row r="227" spans="1:2" x14ac:dyDescent="0.25">
      <c r="A227" s="4">
        <f ca="1">INT(_xlfn.NORM.INV(RAND(),Parameters!$B$2,Parameters!$C$2))</f>
        <v>40</v>
      </c>
      <c r="B227" s="4">
        <f t="shared" ca="1" si="3"/>
        <v>1</v>
      </c>
    </row>
    <row r="228" spans="1:2" x14ac:dyDescent="0.25">
      <c r="A228" s="4">
        <f ca="1">INT(_xlfn.NORM.INV(RAND(),Parameters!$B$2,Parameters!$C$2))</f>
        <v>42</v>
      </c>
      <c r="B228" s="4">
        <f t="shared" ca="1" si="3"/>
        <v>3</v>
      </c>
    </row>
    <row r="229" spans="1:2" x14ac:dyDescent="0.25">
      <c r="A229" s="4">
        <f ca="1">INT(_xlfn.NORM.INV(RAND(),Parameters!$B$2,Parameters!$C$2))</f>
        <v>46</v>
      </c>
      <c r="B229" s="4">
        <f t="shared" ca="1" si="3"/>
        <v>4</v>
      </c>
    </row>
    <row r="230" spans="1:2" x14ac:dyDescent="0.25">
      <c r="A230" s="4">
        <f ca="1">INT(_xlfn.NORM.INV(RAND(),Parameters!$B$2,Parameters!$C$2))</f>
        <v>45</v>
      </c>
      <c r="B230" s="4">
        <f t="shared" ca="1" si="3"/>
        <v>3</v>
      </c>
    </row>
    <row r="231" spans="1:2" x14ac:dyDescent="0.25">
      <c r="A231" s="4">
        <f ca="1">INT(_xlfn.NORM.INV(RAND(),Parameters!$B$2,Parameters!$C$2))</f>
        <v>40</v>
      </c>
      <c r="B231" s="4">
        <f t="shared" ca="1" si="3"/>
        <v>2</v>
      </c>
    </row>
    <row r="232" spans="1:2" x14ac:dyDescent="0.25">
      <c r="A232" s="4">
        <f ca="1">INT(_xlfn.NORM.INV(RAND(),Parameters!$B$2,Parameters!$C$2))</f>
        <v>38</v>
      </c>
      <c r="B232" s="4">
        <f t="shared" ca="1" si="3"/>
        <v>2</v>
      </c>
    </row>
    <row r="233" spans="1:2" x14ac:dyDescent="0.25">
      <c r="A233" s="4">
        <f ca="1">INT(_xlfn.NORM.INV(RAND(),Parameters!$B$2,Parameters!$C$2))</f>
        <v>39</v>
      </c>
      <c r="B233" s="4">
        <f t="shared" ca="1" si="3"/>
        <v>3</v>
      </c>
    </row>
    <row r="234" spans="1:2" x14ac:dyDescent="0.25">
      <c r="A234" s="4">
        <f ca="1">INT(_xlfn.NORM.INV(RAND(),Parameters!$B$2,Parameters!$C$2))</f>
        <v>38</v>
      </c>
      <c r="B234" s="4">
        <f t="shared" ca="1" si="3"/>
        <v>3</v>
      </c>
    </row>
    <row r="235" spans="1:2" x14ac:dyDescent="0.25">
      <c r="A235" s="4">
        <f ca="1">INT(_xlfn.NORM.INV(RAND(),Parameters!$B$2,Parameters!$C$2))</f>
        <v>45</v>
      </c>
      <c r="B235" s="4">
        <f t="shared" ca="1" si="3"/>
        <v>3</v>
      </c>
    </row>
    <row r="236" spans="1:2" x14ac:dyDescent="0.25">
      <c r="A236" s="4">
        <f ca="1">INT(_xlfn.NORM.INV(RAND(),Parameters!$B$2,Parameters!$C$2))</f>
        <v>42</v>
      </c>
      <c r="B236" s="4">
        <f t="shared" ca="1" si="3"/>
        <v>4</v>
      </c>
    </row>
    <row r="237" spans="1:2" x14ac:dyDescent="0.25">
      <c r="A237" s="4">
        <f ca="1">INT(_xlfn.NORM.INV(RAND(),Parameters!$B$2,Parameters!$C$2))</f>
        <v>40</v>
      </c>
      <c r="B237" s="4">
        <f t="shared" ca="1" si="3"/>
        <v>3</v>
      </c>
    </row>
    <row r="238" spans="1:2" x14ac:dyDescent="0.25">
      <c r="A238" s="4">
        <f ca="1">INT(_xlfn.NORM.INV(RAND(),Parameters!$B$2,Parameters!$C$2))</f>
        <v>42</v>
      </c>
      <c r="B238" s="4">
        <f t="shared" ca="1" si="3"/>
        <v>1</v>
      </c>
    </row>
    <row r="239" spans="1:2" x14ac:dyDescent="0.25">
      <c r="A239" s="4">
        <f ca="1">INT(_xlfn.NORM.INV(RAND(),Parameters!$B$2,Parameters!$C$2))</f>
        <v>38</v>
      </c>
      <c r="B239" s="4">
        <f t="shared" ca="1" si="3"/>
        <v>4</v>
      </c>
    </row>
    <row r="240" spans="1:2" x14ac:dyDescent="0.25">
      <c r="A240" s="4">
        <f ca="1">INT(_xlfn.NORM.INV(RAND(),Parameters!$B$2,Parameters!$C$2))</f>
        <v>37</v>
      </c>
      <c r="B240" s="4">
        <f t="shared" ca="1" si="3"/>
        <v>4</v>
      </c>
    </row>
    <row r="241" spans="1:2" x14ac:dyDescent="0.25">
      <c r="A241" s="4">
        <f ca="1">INT(_xlfn.NORM.INV(RAND(),Parameters!$B$2,Parameters!$C$2))</f>
        <v>41</v>
      </c>
      <c r="B241" s="4">
        <f t="shared" ca="1" si="3"/>
        <v>4</v>
      </c>
    </row>
    <row r="242" spans="1:2" x14ac:dyDescent="0.25">
      <c r="A242" s="4">
        <f ca="1">INT(_xlfn.NORM.INV(RAND(),Parameters!$B$2,Parameters!$C$2))</f>
        <v>40</v>
      </c>
      <c r="B242" s="4">
        <f t="shared" ca="1" si="3"/>
        <v>3</v>
      </c>
    </row>
    <row r="243" spans="1:2" x14ac:dyDescent="0.25">
      <c r="A243" s="4">
        <f ca="1">INT(_xlfn.NORM.INV(RAND(),Parameters!$B$2,Parameters!$C$2))</f>
        <v>43</v>
      </c>
      <c r="B243" s="4">
        <f t="shared" ca="1" si="3"/>
        <v>4</v>
      </c>
    </row>
    <row r="244" spans="1:2" x14ac:dyDescent="0.25">
      <c r="A244" s="4">
        <f ca="1">INT(_xlfn.NORM.INV(RAND(),Parameters!$B$2,Parameters!$C$2))</f>
        <v>44</v>
      </c>
      <c r="B244" s="4">
        <f t="shared" ca="1" si="3"/>
        <v>3</v>
      </c>
    </row>
    <row r="245" spans="1:2" x14ac:dyDescent="0.25">
      <c r="A245" s="4">
        <f ca="1">INT(_xlfn.NORM.INV(RAND(),Parameters!$B$2,Parameters!$C$2))</f>
        <v>38</v>
      </c>
      <c r="B245" s="4">
        <f t="shared" ca="1" si="3"/>
        <v>3</v>
      </c>
    </row>
    <row r="246" spans="1:2" x14ac:dyDescent="0.25">
      <c r="A246" s="4">
        <f ca="1">INT(_xlfn.NORM.INV(RAND(),Parameters!$B$2,Parameters!$C$2))</f>
        <v>44</v>
      </c>
      <c r="B246" s="4">
        <f t="shared" ca="1" si="3"/>
        <v>4</v>
      </c>
    </row>
    <row r="247" spans="1:2" x14ac:dyDescent="0.25">
      <c r="A247" s="4">
        <f ca="1">INT(_xlfn.NORM.INV(RAND(),Parameters!$B$2,Parameters!$C$2))</f>
        <v>43</v>
      </c>
      <c r="B247" s="4">
        <f t="shared" ca="1" si="3"/>
        <v>2</v>
      </c>
    </row>
    <row r="248" spans="1:2" x14ac:dyDescent="0.25">
      <c r="A248" s="4">
        <f ca="1">INT(_xlfn.NORM.INV(RAND(),Parameters!$B$2,Parameters!$C$2))</f>
        <v>39</v>
      </c>
      <c r="B248" s="4">
        <f t="shared" ca="1" si="3"/>
        <v>3</v>
      </c>
    </row>
    <row r="249" spans="1:2" x14ac:dyDescent="0.25">
      <c r="A249" s="4">
        <f ca="1">INT(_xlfn.NORM.INV(RAND(),Parameters!$B$2,Parameters!$C$2))</f>
        <v>33</v>
      </c>
      <c r="B249" s="4">
        <f t="shared" ca="1" si="3"/>
        <v>3</v>
      </c>
    </row>
    <row r="250" spans="1:2" x14ac:dyDescent="0.25">
      <c r="A250" s="4">
        <f ca="1">INT(_xlfn.NORM.INV(RAND(),Parameters!$B$2,Parameters!$C$2))</f>
        <v>39</v>
      </c>
      <c r="B250" s="4">
        <f t="shared" ca="1" si="3"/>
        <v>3</v>
      </c>
    </row>
    <row r="251" spans="1:2" x14ac:dyDescent="0.25">
      <c r="A251" s="4">
        <f ca="1">INT(_xlfn.NORM.INV(RAND(),Parameters!$B$2,Parameters!$C$2))</f>
        <v>32</v>
      </c>
      <c r="B251" s="4">
        <f t="shared" ca="1" si="3"/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F46C8-D29F-4DB4-A1D8-C699CED8128E}">
  <dimension ref="A1:C251"/>
  <sheetViews>
    <sheetView showGridLines="0" workbookViewId="0">
      <selection activeCell="I5" sqref="I5"/>
    </sheetView>
  </sheetViews>
  <sheetFormatPr defaultRowHeight="15" x14ac:dyDescent="0.25"/>
  <cols>
    <col min="3" max="3" width="14.140625" bestFit="1" customWidth="1"/>
  </cols>
  <sheetData>
    <row r="1" spans="1:3" ht="21" thickTop="1" thickBot="1" x14ac:dyDescent="0.3">
      <c r="A1" s="1" t="s">
        <v>6</v>
      </c>
      <c r="B1" s="1" t="s">
        <v>4</v>
      </c>
      <c r="C1" s="1" t="s">
        <v>5</v>
      </c>
    </row>
    <row r="2" spans="1:3" ht="15.75" thickTop="1" x14ac:dyDescent="0.25">
      <c r="A2" s="4">
        <v>39</v>
      </c>
      <c r="B2" s="6">
        <v>1</v>
      </c>
      <c r="C2" s="6">
        <f t="shared" ref="C2:C33" si="0">IF(B2=1,A2,)</f>
        <v>39</v>
      </c>
    </row>
    <row r="3" spans="1:3" x14ac:dyDescent="0.25">
      <c r="A3" s="4">
        <v>40</v>
      </c>
      <c r="B3" s="6">
        <v>1</v>
      </c>
      <c r="C3" s="6">
        <f t="shared" si="0"/>
        <v>40</v>
      </c>
    </row>
    <row r="4" spans="1:3" x14ac:dyDescent="0.25">
      <c r="A4" s="4">
        <v>42</v>
      </c>
      <c r="B4" s="6">
        <v>1</v>
      </c>
      <c r="C4" s="6">
        <f t="shared" si="0"/>
        <v>42</v>
      </c>
    </row>
    <row r="5" spans="1:3" x14ac:dyDescent="0.25">
      <c r="A5" s="4">
        <v>39</v>
      </c>
      <c r="B5" s="6">
        <v>1</v>
      </c>
      <c r="C5" s="6">
        <f t="shared" si="0"/>
        <v>39</v>
      </c>
    </row>
    <row r="6" spans="1:3" x14ac:dyDescent="0.25">
      <c r="A6" s="4">
        <v>42</v>
      </c>
      <c r="B6" s="6">
        <v>1</v>
      </c>
      <c r="C6" s="6">
        <f t="shared" si="0"/>
        <v>42</v>
      </c>
    </row>
    <row r="7" spans="1:3" x14ac:dyDescent="0.25">
      <c r="A7" s="4">
        <v>42</v>
      </c>
      <c r="B7" s="6">
        <v>1</v>
      </c>
      <c r="C7" s="6">
        <f t="shared" si="0"/>
        <v>42</v>
      </c>
    </row>
    <row r="8" spans="1:3" x14ac:dyDescent="0.25">
      <c r="A8" s="4">
        <v>40</v>
      </c>
      <c r="B8" s="6">
        <v>1</v>
      </c>
      <c r="C8" s="6">
        <f t="shared" si="0"/>
        <v>40</v>
      </c>
    </row>
    <row r="9" spans="1:3" x14ac:dyDescent="0.25">
      <c r="A9" s="4">
        <v>43</v>
      </c>
      <c r="B9" s="6">
        <v>1</v>
      </c>
      <c r="C9" s="6">
        <f t="shared" si="0"/>
        <v>43</v>
      </c>
    </row>
    <row r="10" spans="1:3" x14ac:dyDescent="0.25">
      <c r="A10" s="4">
        <v>44</v>
      </c>
      <c r="B10" s="6">
        <v>1</v>
      </c>
      <c r="C10" s="6">
        <f t="shared" si="0"/>
        <v>44</v>
      </c>
    </row>
    <row r="11" spans="1:3" x14ac:dyDescent="0.25">
      <c r="A11" s="4">
        <v>44</v>
      </c>
      <c r="B11" s="6">
        <v>1</v>
      </c>
      <c r="C11" s="6">
        <f t="shared" si="0"/>
        <v>44</v>
      </c>
    </row>
    <row r="12" spans="1:3" x14ac:dyDescent="0.25">
      <c r="A12" s="4">
        <v>42</v>
      </c>
      <c r="B12" s="6">
        <v>1</v>
      </c>
      <c r="C12" s="6">
        <f t="shared" si="0"/>
        <v>42</v>
      </c>
    </row>
    <row r="13" spans="1:3" x14ac:dyDescent="0.25">
      <c r="A13" s="4">
        <v>46</v>
      </c>
      <c r="B13" s="6">
        <v>1</v>
      </c>
      <c r="C13" s="6">
        <f t="shared" si="0"/>
        <v>46</v>
      </c>
    </row>
    <row r="14" spans="1:3" x14ac:dyDescent="0.25">
      <c r="A14" s="4">
        <v>41</v>
      </c>
      <c r="B14" s="6">
        <v>1</v>
      </c>
      <c r="C14" s="6">
        <f t="shared" si="0"/>
        <v>41</v>
      </c>
    </row>
    <row r="15" spans="1:3" x14ac:dyDescent="0.25">
      <c r="A15" s="4">
        <v>40</v>
      </c>
      <c r="B15" s="6">
        <v>1</v>
      </c>
      <c r="C15" s="6">
        <f t="shared" si="0"/>
        <v>40</v>
      </c>
    </row>
    <row r="16" spans="1:3" x14ac:dyDescent="0.25">
      <c r="A16" s="4">
        <v>46</v>
      </c>
      <c r="B16" s="6">
        <v>1</v>
      </c>
      <c r="C16" s="6">
        <f t="shared" si="0"/>
        <v>46</v>
      </c>
    </row>
    <row r="17" spans="1:3" x14ac:dyDescent="0.25">
      <c r="A17" s="4">
        <v>38</v>
      </c>
      <c r="B17" s="6">
        <v>1</v>
      </c>
      <c r="C17" s="6">
        <f t="shared" si="0"/>
        <v>38</v>
      </c>
    </row>
    <row r="18" spans="1:3" x14ac:dyDescent="0.25">
      <c r="A18" s="4">
        <v>41</v>
      </c>
      <c r="B18" s="6">
        <v>1</v>
      </c>
      <c r="C18" s="6">
        <f t="shared" si="0"/>
        <v>41</v>
      </c>
    </row>
    <row r="19" spans="1:3" x14ac:dyDescent="0.25">
      <c r="A19" s="4">
        <v>39</v>
      </c>
      <c r="B19" s="6">
        <v>1</v>
      </c>
      <c r="C19" s="6">
        <f t="shared" si="0"/>
        <v>39</v>
      </c>
    </row>
    <row r="20" spans="1:3" x14ac:dyDescent="0.25">
      <c r="A20" s="4">
        <v>38</v>
      </c>
      <c r="B20" s="6">
        <v>1</v>
      </c>
      <c r="C20" s="6">
        <f t="shared" si="0"/>
        <v>38</v>
      </c>
    </row>
    <row r="21" spans="1:3" x14ac:dyDescent="0.25">
      <c r="A21" s="4">
        <v>38</v>
      </c>
      <c r="B21" s="6">
        <v>1</v>
      </c>
      <c r="C21" s="6">
        <f t="shared" si="0"/>
        <v>38</v>
      </c>
    </row>
    <row r="22" spans="1:3" x14ac:dyDescent="0.25">
      <c r="A22" s="4">
        <v>40</v>
      </c>
      <c r="B22" s="6">
        <v>1</v>
      </c>
      <c r="C22" s="6">
        <f t="shared" si="0"/>
        <v>40</v>
      </c>
    </row>
    <row r="23" spans="1:3" x14ac:dyDescent="0.25">
      <c r="A23" s="4">
        <v>37</v>
      </c>
      <c r="B23" s="6">
        <v>1</v>
      </c>
      <c r="C23" s="6">
        <f t="shared" si="0"/>
        <v>37</v>
      </c>
    </row>
    <row r="24" spans="1:3" x14ac:dyDescent="0.25">
      <c r="A24" s="4">
        <v>40</v>
      </c>
      <c r="B24" s="6">
        <v>1</v>
      </c>
      <c r="C24" s="6">
        <f t="shared" si="0"/>
        <v>40</v>
      </c>
    </row>
    <row r="25" spans="1:3" x14ac:dyDescent="0.25">
      <c r="A25" s="4">
        <v>33</v>
      </c>
      <c r="B25" s="6">
        <v>1</v>
      </c>
      <c r="C25" s="6">
        <f t="shared" si="0"/>
        <v>33</v>
      </c>
    </row>
    <row r="26" spans="1:3" x14ac:dyDescent="0.25">
      <c r="A26" s="4">
        <v>48</v>
      </c>
      <c r="B26" s="6">
        <v>1</v>
      </c>
      <c r="C26" s="6">
        <f t="shared" si="0"/>
        <v>48</v>
      </c>
    </row>
    <row r="27" spans="1:3" x14ac:dyDescent="0.25">
      <c r="A27" s="4">
        <v>41</v>
      </c>
      <c r="B27" s="6">
        <v>1</v>
      </c>
      <c r="C27" s="6">
        <f t="shared" si="0"/>
        <v>41</v>
      </c>
    </row>
    <row r="28" spans="1:3" x14ac:dyDescent="0.25">
      <c r="A28" s="4">
        <v>35</v>
      </c>
      <c r="B28" s="6">
        <v>1</v>
      </c>
      <c r="C28" s="6">
        <f t="shared" si="0"/>
        <v>35</v>
      </c>
    </row>
    <row r="29" spans="1:3" x14ac:dyDescent="0.25">
      <c r="A29" s="4">
        <v>34</v>
      </c>
      <c r="B29" s="6">
        <v>1</v>
      </c>
      <c r="C29" s="6">
        <f t="shared" si="0"/>
        <v>34</v>
      </c>
    </row>
    <row r="30" spans="1:3" x14ac:dyDescent="0.25">
      <c r="A30" s="4">
        <v>38</v>
      </c>
      <c r="B30" s="6">
        <v>1</v>
      </c>
      <c r="C30" s="6">
        <f t="shared" si="0"/>
        <v>38</v>
      </c>
    </row>
    <row r="31" spans="1:3" x14ac:dyDescent="0.25">
      <c r="A31" s="4">
        <v>36</v>
      </c>
      <c r="B31" s="6">
        <v>1</v>
      </c>
      <c r="C31" s="6">
        <f t="shared" si="0"/>
        <v>36</v>
      </c>
    </row>
    <row r="32" spans="1:3" x14ac:dyDescent="0.25">
      <c r="A32" s="4">
        <v>42</v>
      </c>
      <c r="B32" s="6">
        <v>1</v>
      </c>
      <c r="C32" s="6">
        <f t="shared" si="0"/>
        <v>42</v>
      </c>
    </row>
    <row r="33" spans="1:3" x14ac:dyDescent="0.25">
      <c r="A33" s="4">
        <v>38</v>
      </c>
      <c r="B33" s="6">
        <v>1</v>
      </c>
      <c r="C33" s="6">
        <f t="shared" si="0"/>
        <v>38</v>
      </c>
    </row>
    <row r="34" spans="1:3" x14ac:dyDescent="0.25">
      <c r="A34" s="4">
        <v>39</v>
      </c>
      <c r="B34" s="6">
        <v>1</v>
      </c>
      <c r="C34" s="6">
        <f t="shared" ref="C34:C65" si="1">IF(B34=1,A34,)</f>
        <v>39</v>
      </c>
    </row>
    <row r="35" spans="1:3" x14ac:dyDescent="0.25">
      <c r="A35" s="4">
        <v>40</v>
      </c>
      <c r="B35" s="6">
        <v>1</v>
      </c>
      <c r="C35" s="6">
        <f t="shared" si="1"/>
        <v>40</v>
      </c>
    </row>
    <row r="36" spans="1:3" x14ac:dyDescent="0.25">
      <c r="A36" s="4">
        <v>40</v>
      </c>
      <c r="B36" s="6">
        <v>1</v>
      </c>
      <c r="C36" s="6">
        <f t="shared" si="1"/>
        <v>40</v>
      </c>
    </row>
    <row r="37" spans="1:3" x14ac:dyDescent="0.25">
      <c r="A37" s="4">
        <v>43</v>
      </c>
      <c r="B37" s="6">
        <v>1</v>
      </c>
      <c r="C37" s="6">
        <f t="shared" si="1"/>
        <v>43</v>
      </c>
    </row>
    <row r="38" spans="1:3" x14ac:dyDescent="0.25">
      <c r="A38" s="4">
        <v>45</v>
      </c>
      <c r="B38" s="6">
        <v>1</v>
      </c>
      <c r="C38" s="6">
        <f t="shared" si="1"/>
        <v>45</v>
      </c>
    </row>
    <row r="39" spans="1:3" x14ac:dyDescent="0.25">
      <c r="A39" s="4">
        <v>40</v>
      </c>
      <c r="B39" s="6">
        <v>1</v>
      </c>
      <c r="C39" s="6">
        <f t="shared" si="1"/>
        <v>40</v>
      </c>
    </row>
    <row r="40" spans="1:3" x14ac:dyDescent="0.25">
      <c r="A40" s="4">
        <v>40</v>
      </c>
      <c r="B40" s="6">
        <v>1</v>
      </c>
      <c r="C40" s="6">
        <f t="shared" si="1"/>
        <v>40</v>
      </c>
    </row>
    <row r="41" spans="1:3" x14ac:dyDescent="0.25">
      <c r="A41" s="4">
        <v>41</v>
      </c>
      <c r="B41" s="6">
        <v>1</v>
      </c>
      <c r="C41" s="6">
        <f t="shared" si="1"/>
        <v>41</v>
      </c>
    </row>
    <row r="42" spans="1:3" x14ac:dyDescent="0.25">
      <c r="A42" s="4">
        <v>40</v>
      </c>
      <c r="B42" s="6">
        <v>1</v>
      </c>
      <c r="C42" s="6">
        <f t="shared" si="1"/>
        <v>40</v>
      </c>
    </row>
    <row r="43" spans="1:3" x14ac:dyDescent="0.25">
      <c r="A43" s="4">
        <v>37</v>
      </c>
      <c r="B43" s="6">
        <v>1</v>
      </c>
      <c r="C43" s="6">
        <f t="shared" si="1"/>
        <v>37</v>
      </c>
    </row>
    <row r="44" spans="1:3" x14ac:dyDescent="0.25">
      <c r="A44" s="4">
        <v>41</v>
      </c>
      <c r="B44" s="6">
        <v>1</v>
      </c>
      <c r="C44" s="6">
        <f t="shared" si="1"/>
        <v>41</v>
      </c>
    </row>
    <row r="45" spans="1:3" x14ac:dyDescent="0.25">
      <c r="A45" s="4">
        <v>37</v>
      </c>
      <c r="B45" s="6">
        <v>1</v>
      </c>
      <c r="C45" s="6">
        <f t="shared" si="1"/>
        <v>37</v>
      </c>
    </row>
    <row r="46" spans="1:3" x14ac:dyDescent="0.25">
      <c r="A46" s="4">
        <v>44</v>
      </c>
      <c r="B46" s="6">
        <v>1</v>
      </c>
      <c r="C46" s="6">
        <f t="shared" si="1"/>
        <v>44</v>
      </c>
    </row>
    <row r="47" spans="1:3" x14ac:dyDescent="0.25">
      <c r="A47" s="4">
        <v>36</v>
      </c>
      <c r="B47" s="6">
        <v>1</v>
      </c>
      <c r="C47" s="6">
        <f t="shared" si="1"/>
        <v>36</v>
      </c>
    </row>
    <row r="48" spans="1:3" x14ac:dyDescent="0.25">
      <c r="A48" s="4">
        <v>40</v>
      </c>
      <c r="B48" s="6">
        <v>1</v>
      </c>
      <c r="C48" s="6">
        <f t="shared" si="1"/>
        <v>40</v>
      </c>
    </row>
    <row r="49" spans="1:3" x14ac:dyDescent="0.25">
      <c r="A49" s="4">
        <v>42</v>
      </c>
      <c r="B49" s="6">
        <v>1</v>
      </c>
      <c r="C49" s="6">
        <f t="shared" si="1"/>
        <v>42</v>
      </c>
    </row>
    <row r="50" spans="1:3" x14ac:dyDescent="0.25">
      <c r="A50" s="4">
        <v>40</v>
      </c>
      <c r="B50" s="6">
        <v>1</v>
      </c>
      <c r="C50" s="6">
        <f t="shared" si="1"/>
        <v>40</v>
      </c>
    </row>
    <row r="51" spans="1:3" x14ac:dyDescent="0.25">
      <c r="A51" s="4">
        <v>45</v>
      </c>
      <c r="B51" s="6">
        <v>1</v>
      </c>
      <c r="C51" s="6">
        <f t="shared" si="1"/>
        <v>45</v>
      </c>
    </row>
    <row r="52" spans="1:3" x14ac:dyDescent="0.25">
      <c r="A52" s="4">
        <v>45</v>
      </c>
      <c r="B52" s="6">
        <v>1</v>
      </c>
      <c r="C52" s="6">
        <f t="shared" si="1"/>
        <v>45</v>
      </c>
    </row>
    <row r="53" spans="1:3" x14ac:dyDescent="0.25">
      <c r="A53" s="4">
        <v>37</v>
      </c>
      <c r="B53" s="6">
        <v>1</v>
      </c>
      <c r="C53" s="6">
        <f t="shared" si="1"/>
        <v>37</v>
      </c>
    </row>
    <row r="54" spans="1:3" x14ac:dyDescent="0.25">
      <c r="A54" s="4">
        <v>40</v>
      </c>
      <c r="B54" s="6">
        <v>1</v>
      </c>
      <c r="C54" s="6">
        <f t="shared" si="1"/>
        <v>40</v>
      </c>
    </row>
    <row r="55" spans="1:3" x14ac:dyDescent="0.25">
      <c r="A55" s="4">
        <v>42</v>
      </c>
      <c r="B55" s="6">
        <v>1</v>
      </c>
      <c r="C55" s="6">
        <f t="shared" si="1"/>
        <v>42</v>
      </c>
    </row>
    <row r="56" spans="1:3" x14ac:dyDescent="0.25">
      <c r="A56" s="4">
        <v>43</v>
      </c>
      <c r="B56" s="6">
        <v>1</v>
      </c>
      <c r="C56" s="6">
        <f t="shared" si="1"/>
        <v>43</v>
      </c>
    </row>
    <row r="57" spans="1:3" x14ac:dyDescent="0.25">
      <c r="A57" s="4">
        <v>46</v>
      </c>
      <c r="B57" s="6">
        <v>1</v>
      </c>
      <c r="C57" s="6">
        <f t="shared" si="1"/>
        <v>46</v>
      </c>
    </row>
    <row r="58" spans="1:3" x14ac:dyDescent="0.25">
      <c r="A58" s="4">
        <v>36</v>
      </c>
      <c r="B58" s="6">
        <v>1</v>
      </c>
      <c r="C58" s="6">
        <f t="shared" si="1"/>
        <v>36</v>
      </c>
    </row>
    <row r="59" spans="1:3" x14ac:dyDescent="0.25">
      <c r="A59" s="4">
        <v>41</v>
      </c>
      <c r="B59" s="6">
        <v>1</v>
      </c>
      <c r="C59" s="6">
        <f t="shared" si="1"/>
        <v>41</v>
      </c>
    </row>
    <row r="60" spans="1:3" x14ac:dyDescent="0.25">
      <c r="A60" s="4">
        <v>40</v>
      </c>
      <c r="B60" s="6">
        <v>1</v>
      </c>
      <c r="C60" s="6">
        <f t="shared" si="1"/>
        <v>40</v>
      </c>
    </row>
    <row r="61" spans="1:3" x14ac:dyDescent="0.25">
      <c r="A61" s="4">
        <v>36</v>
      </c>
      <c r="B61" s="6">
        <v>1</v>
      </c>
      <c r="C61" s="6">
        <f t="shared" si="1"/>
        <v>36</v>
      </c>
    </row>
    <row r="62" spans="1:3" x14ac:dyDescent="0.25">
      <c r="A62" s="4">
        <v>42</v>
      </c>
      <c r="B62" s="6">
        <v>1</v>
      </c>
      <c r="C62" s="6">
        <f t="shared" si="1"/>
        <v>42</v>
      </c>
    </row>
    <row r="63" spans="1:3" x14ac:dyDescent="0.25">
      <c r="A63" s="4">
        <v>41</v>
      </c>
      <c r="B63" s="6">
        <v>1</v>
      </c>
      <c r="C63" s="6">
        <f t="shared" si="1"/>
        <v>41</v>
      </c>
    </row>
    <row r="64" spans="1:3" x14ac:dyDescent="0.25">
      <c r="A64" s="4">
        <v>41</v>
      </c>
      <c r="B64" s="6">
        <v>1</v>
      </c>
      <c r="C64" s="6">
        <f t="shared" si="1"/>
        <v>41</v>
      </c>
    </row>
    <row r="65" spans="1:3" x14ac:dyDescent="0.25">
      <c r="A65" s="4">
        <v>39</v>
      </c>
      <c r="B65" s="6">
        <v>1</v>
      </c>
      <c r="C65" s="6">
        <f t="shared" si="1"/>
        <v>39</v>
      </c>
    </row>
    <row r="66" spans="1:3" x14ac:dyDescent="0.25">
      <c r="A66" s="4">
        <v>41</v>
      </c>
      <c r="B66" s="6">
        <v>1</v>
      </c>
      <c r="C66" s="6">
        <f t="shared" ref="C66" si="2">IF(B66=1,A66,)</f>
        <v>41</v>
      </c>
    </row>
    <row r="67" spans="1:3" x14ac:dyDescent="0.25">
      <c r="A67" s="4">
        <v>45</v>
      </c>
      <c r="B67" s="4">
        <v>2</v>
      </c>
      <c r="C67" s="5"/>
    </row>
    <row r="68" spans="1:3" x14ac:dyDescent="0.25">
      <c r="A68" s="4">
        <v>36</v>
      </c>
      <c r="B68" s="4">
        <v>2</v>
      </c>
      <c r="C68" s="5"/>
    </row>
    <row r="69" spans="1:3" x14ac:dyDescent="0.25">
      <c r="A69" s="4">
        <v>40</v>
      </c>
      <c r="B69" s="4">
        <v>2</v>
      </c>
      <c r="C69" s="5"/>
    </row>
    <row r="70" spans="1:3" x14ac:dyDescent="0.25">
      <c r="A70" s="4">
        <v>38</v>
      </c>
      <c r="B70" s="4">
        <v>2</v>
      </c>
      <c r="C70" s="5"/>
    </row>
    <row r="71" spans="1:3" x14ac:dyDescent="0.25">
      <c r="A71" s="4">
        <v>36</v>
      </c>
      <c r="B71" s="4">
        <v>2</v>
      </c>
      <c r="C71" s="5"/>
    </row>
    <row r="72" spans="1:3" x14ac:dyDescent="0.25">
      <c r="A72" s="4">
        <v>37</v>
      </c>
      <c r="B72" s="4">
        <v>2</v>
      </c>
      <c r="C72" s="5"/>
    </row>
    <row r="73" spans="1:3" x14ac:dyDescent="0.25">
      <c r="A73" s="4">
        <v>41</v>
      </c>
      <c r="B73" s="4">
        <v>2</v>
      </c>
      <c r="C73" s="5"/>
    </row>
    <row r="74" spans="1:3" x14ac:dyDescent="0.25">
      <c r="A74" s="4">
        <v>42</v>
      </c>
      <c r="B74" s="4">
        <v>2</v>
      </c>
      <c r="C74" s="5"/>
    </row>
    <row r="75" spans="1:3" x14ac:dyDescent="0.25">
      <c r="A75" s="4">
        <v>43</v>
      </c>
      <c r="B75" s="4">
        <v>2</v>
      </c>
      <c r="C75" s="5"/>
    </row>
    <row r="76" spans="1:3" x14ac:dyDescent="0.25">
      <c r="A76" s="4">
        <v>36</v>
      </c>
      <c r="B76" s="4">
        <v>2</v>
      </c>
      <c r="C76" s="5"/>
    </row>
    <row r="77" spans="1:3" x14ac:dyDescent="0.25">
      <c r="A77" s="4">
        <v>39</v>
      </c>
      <c r="B77" s="4">
        <v>2</v>
      </c>
      <c r="C77" s="5"/>
    </row>
    <row r="78" spans="1:3" x14ac:dyDescent="0.25">
      <c r="A78" s="4">
        <v>40</v>
      </c>
      <c r="B78" s="4">
        <v>2</v>
      </c>
      <c r="C78" s="5"/>
    </row>
    <row r="79" spans="1:3" x14ac:dyDescent="0.25">
      <c r="A79" s="4">
        <v>47</v>
      </c>
      <c r="B79" s="4">
        <v>2</v>
      </c>
      <c r="C79" s="5"/>
    </row>
    <row r="80" spans="1:3" x14ac:dyDescent="0.25">
      <c r="A80" s="4">
        <v>42</v>
      </c>
      <c r="B80" s="4">
        <v>2</v>
      </c>
      <c r="C80" s="5"/>
    </row>
    <row r="81" spans="1:3" x14ac:dyDescent="0.25">
      <c r="A81" s="4">
        <v>38</v>
      </c>
      <c r="B81" s="4">
        <v>2</v>
      </c>
      <c r="C81" s="5"/>
    </row>
    <row r="82" spans="1:3" x14ac:dyDescent="0.25">
      <c r="A82" s="4">
        <v>38</v>
      </c>
      <c r="B82" s="4">
        <v>2</v>
      </c>
      <c r="C82" s="5"/>
    </row>
    <row r="83" spans="1:3" x14ac:dyDescent="0.25">
      <c r="A83" s="4">
        <v>35</v>
      </c>
      <c r="B83" s="4">
        <v>2</v>
      </c>
      <c r="C83" s="5"/>
    </row>
    <row r="84" spans="1:3" x14ac:dyDescent="0.25">
      <c r="A84" s="4">
        <v>42</v>
      </c>
      <c r="B84" s="4">
        <v>2</v>
      </c>
      <c r="C84" s="5"/>
    </row>
    <row r="85" spans="1:3" x14ac:dyDescent="0.25">
      <c r="A85" s="4">
        <v>38</v>
      </c>
      <c r="B85" s="4">
        <v>2</v>
      </c>
      <c r="C85" s="5"/>
    </row>
    <row r="86" spans="1:3" x14ac:dyDescent="0.25">
      <c r="A86" s="4">
        <v>38</v>
      </c>
      <c r="B86" s="4">
        <v>2</v>
      </c>
      <c r="C86" s="5"/>
    </row>
    <row r="87" spans="1:3" x14ac:dyDescent="0.25">
      <c r="A87" s="4">
        <v>35</v>
      </c>
      <c r="B87" s="4">
        <v>2</v>
      </c>
      <c r="C87" s="5"/>
    </row>
    <row r="88" spans="1:3" x14ac:dyDescent="0.25">
      <c r="A88" s="4">
        <v>41</v>
      </c>
      <c r="B88" s="4">
        <v>2</v>
      </c>
      <c r="C88" s="5"/>
    </row>
    <row r="89" spans="1:3" x14ac:dyDescent="0.25">
      <c r="A89" s="4">
        <v>36</v>
      </c>
      <c r="B89" s="4">
        <v>2</v>
      </c>
      <c r="C89" s="5"/>
    </row>
    <row r="90" spans="1:3" x14ac:dyDescent="0.25">
      <c r="A90" s="4">
        <v>43</v>
      </c>
      <c r="B90" s="4">
        <v>2</v>
      </c>
      <c r="C90" s="5"/>
    </row>
    <row r="91" spans="1:3" x14ac:dyDescent="0.25">
      <c r="A91" s="4">
        <v>40</v>
      </c>
      <c r="B91" s="4">
        <v>2</v>
      </c>
      <c r="C91" s="5"/>
    </row>
    <row r="92" spans="1:3" x14ac:dyDescent="0.25">
      <c r="A92" s="4">
        <v>42</v>
      </c>
      <c r="B92" s="4">
        <v>2</v>
      </c>
      <c r="C92" s="5"/>
    </row>
    <row r="93" spans="1:3" x14ac:dyDescent="0.25">
      <c r="A93" s="4">
        <v>41</v>
      </c>
      <c r="B93" s="4">
        <v>2</v>
      </c>
      <c r="C93" s="5"/>
    </row>
    <row r="94" spans="1:3" x14ac:dyDescent="0.25">
      <c r="A94" s="4">
        <v>47</v>
      </c>
      <c r="B94" s="4">
        <v>2</v>
      </c>
      <c r="C94" s="5"/>
    </row>
    <row r="95" spans="1:3" x14ac:dyDescent="0.25">
      <c r="A95" s="4">
        <v>41</v>
      </c>
      <c r="B95" s="4">
        <v>2</v>
      </c>
      <c r="C95" s="5"/>
    </row>
    <row r="96" spans="1:3" x14ac:dyDescent="0.25">
      <c r="A96" s="4">
        <v>43</v>
      </c>
      <c r="B96" s="4">
        <v>2</v>
      </c>
      <c r="C96" s="5"/>
    </row>
    <row r="97" spans="1:3" x14ac:dyDescent="0.25">
      <c r="A97" s="4">
        <v>39</v>
      </c>
      <c r="B97" s="4">
        <v>2</v>
      </c>
      <c r="C97" s="5"/>
    </row>
    <row r="98" spans="1:3" x14ac:dyDescent="0.25">
      <c r="A98" s="4">
        <v>39</v>
      </c>
      <c r="B98" s="4">
        <v>2</v>
      </c>
      <c r="C98" s="5"/>
    </row>
    <row r="99" spans="1:3" x14ac:dyDescent="0.25">
      <c r="A99" s="4">
        <v>47</v>
      </c>
      <c r="B99" s="4">
        <v>2</v>
      </c>
      <c r="C99" s="5"/>
    </row>
    <row r="100" spans="1:3" x14ac:dyDescent="0.25">
      <c r="A100" s="4">
        <v>38</v>
      </c>
      <c r="B100" s="4">
        <v>2</v>
      </c>
      <c r="C100" s="5"/>
    </row>
    <row r="101" spans="1:3" x14ac:dyDescent="0.25">
      <c r="A101" s="4">
        <v>40</v>
      </c>
      <c r="B101" s="4">
        <v>2</v>
      </c>
      <c r="C101" s="5"/>
    </row>
    <row r="102" spans="1:3" x14ac:dyDescent="0.25">
      <c r="A102" s="4">
        <v>39</v>
      </c>
      <c r="B102" s="4">
        <v>2</v>
      </c>
      <c r="C102" s="5"/>
    </row>
    <row r="103" spans="1:3" x14ac:dyDescent="0.25">
      <c r="A103" s="4">
        <v>39</v>
      </c>
      <c r="B103" s="4">
        <v>2</v>
      </c>
      <c r="C103" s="5"/>
    </row>
    <row r="104" spans="1:3" x14ac:dyDescent="0.25">
      <c r="A104" s="4">
        <v>41</v>
      </c>
      <c r="B104" s="4">
        <v>2</v>
      </c>
      <c r="C104" s="5"/>
    </row>
    <row r="105" spans="1:3" x14ac:dyDescent="0.25">
      <c r="A105" s="4">
        <v>41</v>
      </c>
      <c r="B105" s="4">
        <v>2</v>
      </c>
      <c r="C105" s="5"/>
    </row>
    <row r="106" spans="1:3" x14ac:dyDescent="0.25">
      <c r="A106" s="4">
        <v>42</v>
      </c>
      <c r="B106" s="4">
        <v>2</v>
      </c>
      <c r="C106" s="5"/>
    </row>
    <row r="107" spans="1:3" x14ac:dyDescent="0.25">
      <c r="A107" s="4">
        <v>45</v>
      </c>
      <c r="B107" s="4">
        <v>2</v>
      </c>
      <c r="C107" s="5"/>
    </row>
    <row r="108" spans="1:3" x14ac:dyDescent="0.25">
      <c r="A108" s="4">
        <v>36</v>
      </c>
      <c r="B108" s="4">
        <v>2</v>
      </c>
      <c r="C108" s="5"/>
    </row>
    <row r="109" spans="1:3" x14ac:dyDescent="0.25">
      <c r="A109" s="4">
        <v>42</v>
      </c>
      <c r="B109" s="4">
        <v>2</v>
      </c>
      <c r="C109" s="5"/>
    </row>
    <row r="110" spans="1:3" x14ac:dyDescent="0.25">
      <c r="A110" s="4">
        <v>41</v>
      </c>
      <c r="B110" s="4">
        <v>2</v>
      </c>
      <c r="C110" s="5"/>
    </row>
    <row r="111" spans="1:3" x14ac:dyDescent="0.25">
      <c r="A111" s="4">
        <v>39</v>
      </c>
      <c r="B111" s="4">
        <v>2</v>
      </c>
      <c r="C111" s="5"/>
    </row>
    <row r="112" spans="1:3" x14ac:dyDescent="0.25">
      <c r="A112" s="4">
        <v>36</v>
      </c>
      <c r="B112" s="4">
        <v>2</v>
      </c>
      <c r="C112" s="5"/>
    </row>
    <row r="113" spans="1:3" x14ac:dyDescent="0.25">
      <c r="A113" s="4">
        <v>42</v>
      </c>
      <c r="B113" s="4">
        <v>2</v>
      </c>
      <c r="C113" s="5"/>
    </row>
    <row r="114" spans="1:3" x14ac:dyDescent="0.25">
      <c r="A114" s="4">
        <v>42</v>
      </c>
      <c r="B114" s="4">
        <v>2</v>
      </c>
      <c r="C114" s="5"/>
    </row>
    <row r="115" spans="1:3" x14ac:dyDescent="0.25">
      <c r="A115" s="4">
        <v>40</v>
      </c>
      <c r="B115" s="4">
        <v>2</v>
      </c>
      <c r="C115" s="5"/>
    </row>
    <row r="116" spans="1:3" x14ac:dyDescent="0.25">
      <c r="A116" s="4">
        <v>42</v>
      </c>
      <c r="B116" s="4">
        <v>2</v>
      </c>
      <c r="C116" s="5"/>
    </row>
    <row r="117" spans="1:3" x14ac:dyDescent="0.25">
      <c r="A117" s="4">
        <v>44</v>
      </c>
      <c r="B117" s="4">
        <v>2</v>
      </c>
      <c r="C117" s="5"/>
    </row>
    <row r="118" spans="1:3" x14ac:dyDescent="0.25">
      <c r="A118" s="4">
        <v>39</v>
      </c>
      <c r="B118" s="4">
        <v>2</v>
      </c>
      <c r="C118" s="5"/>
    </row>
    <row r="119" spans="1:3" x14ac:dyDescent="0.25">
      <c r="A119" s="4">
        <v>38</v>
      </c>
      <c r="B119" s="4">
        <v>2</v>
      </c>
      <c r="C119" s="5"/>
    </row>
    <row r="120" spans="1:3" x14ac:dyDescent="0.25">
      <c r="A120" s="4">
        <v>44</v>
      </c>
      <c r="B120" s="4">
        <v>2</v>
      </c>
      <c r="C120" s="5"/>
    </row>
    <row r="121" spans="1:3" x14ac:dyDescent="0.25">
      <c r="A121" s="4">
        <v>34</v>
      </c>
      <c r="B121" s="4">
        <v>2</v>
      </c>
      <c r="C121" s="5"/>
    </row>
    <row r="122" spans="1:3" x14ac:dyDescent="0.25">
      <c r="A122" s="4">
        <v>34</v>
      </c>
      <c r="B122" s="4">
        <v>2</v>
      </c>
      <c r="C122" s="5"/>
    </row>
    <row r="123" spans="1:3" x14ac:dyDescent="0.25">
      <c r="A123" s="4">
        <v>35</v>
      </c>
      <c r="B123" s="4">
        <v>2</v>
      </c>
      <c r="C123" s="5"/>
    </row>
    <row r="124" spans="1:3" x14ac:dyDescent="0.25">
      <c r="A124" s="4">
        <v>40</v>
      </c>
      <c r="B124" s="4">
        <v>2</v>
      </c>
      <c r="C124" s="5"/>
    </row>
    <row r="125" spans="1:3" x14ac:dyDescent="0.25">
      <c r="A125" s="4">
        <v>37</v>
      </c>
      <c r="B125" s="4">
        <v>2</v>
      </c>
      <c r="C125" s="5"/>
    </row>
    <row r="126" spans="1:3" x14ac:dyDescent="0.25">
      <c r="A126" s="4">
        <v>41</v>
      </c>
      <c r="B126" s="4">
        <v>2</v>
      </c>
      <c r="C126" s="5"/>
    </row>
    <row r="127" spans="1:3" x14ac:dyDescent="0.25">
      <c r="A127" s="4">
        <v>40</v>
      </c>
      <c r="B127" s="4">
        <v>2</v>
      </c>
      <c r="C127" s="5"/>
    </row>
    <row r="128" spans="1:3" x14ac:dyDescent="0.25">
      <c r="A128" s="4">
        <v>42</v>
      </c>
      <c r="B128" s="4">
        <v>2</v>
      </c>
      <c r="C128" s="5"/>
    </row>
    <row r="129" spans="1:3" x14ac:dyDescent="0.25">
      <c r="A129" s="4">
        <v>36</v>
      </c>
      <c r="B129" s="4">
        <v>3</v>
      </c>
      <c r="C129" s="5"/>
    </row>
    <row r="130" spans="1:3" x14ac:dyDescent="0.25">
      <c r="A130" s="4">
        <v>45</v>
      </c>
      <c r="B130" s="4">
        <v>3</v>
      </c>
      <c r="C130" s="5"/>
    </row>
    <row r="131" spans="1:3" x14ac:dyDescent="0.25">
      <c r="A131" s="4">
        <v>44</v>
      </c>
      <c r="B131" s="4">
        <v>3</v>
      </c>
      <c r="C131" s="5"/>
    </row>
    <row r="132" spans="1:3" x14ac:dyDescent="0.25">
      <c r="A132" s="4">
        <v>39</v>
      </c>
      <c r="B132" s="4">
        <v>3</v>
      </c>
      <c r="C132" s="5"/>
    </row>
    <row r="133" spans="1:3" x14ac:dyDescent="0.25">
      <c r="A133" s="4">
        <v>45</v>
      </c>
      <c r="B133" s="4">
        <v>3</v>
      </c>
      <c r="C133" s="5"/>
    </row>
    <row r="134" spans="1:3" x14ac:dyDescent="0.25">
      <c r="A134" s="4">
        <v>42</v>
      </c>
      <c r="B134" s="4">
        <v>3</v>
      </c>
      <c r="C134" s="5"/>
    </row>
    <row r="135" spans="1:3" x14ac:dyDescent="0.25">
      <c r="A135" s="4">
        <v>43</v>
      </c>
      <c r="B135" s="4">
        <v>3</v>
      </c>
      <c r="C135" s="5"/>
    </row>
    <row r="136" spans="1:3" x14ac:dyDescent="0.25">
      <c r="A136" s="4">
        <v>43</v>
      </c>
      <c r="B136" s="4">
        <v>3</v>
      </c>
      <c r="C136" s="5"/>
    </row>
    <row r="137" spans="1:3" x14ac:dyDescent="0.25">
      <c r="A137" s="4">
        <v>36</v>
      </c>
      <c r="B137" s="4">
        <v>3</v>
      </c>
      <c r="C137" s="5"/>
    </row>
    <row r="138" spans="1:3" x14ac:dyDescent="0.25">
      <c r="A138" s="4">
        <v>34</v>
      </c>
      <c r="B138" s="4">
        <v>3</v>
      </c>
      <c r="C138" s="5"/>
    </row>
    <row r="139" spans="1:3" x14ac:dyDescent="0.25">
      <c r="A139" s="4">
        <v>43</v>
      </c>
      <c r="B139" s="4">
        <v>3</v>
      </c>
      <c r="C139" s="5"/>
    </row>
    <row r="140" spans="1:3" x14ac:dyDescent="0.25">
      <c r="A140" s="4">
        <v>45</v>
      </c>
      <c r="B140" s="4">
        <v>3</v>
      </c>
      <c r="C140" s="5"/>
    </row>
    <row r="141" spans="1:3" x14ac:dyDescent="0.25">
      <c r="A141" s="4">
        <v>48</v>
      </c>
      <c r="B141" s="4">
        <v>3</v>
      </c>
      <c r="C141" s="5"/>
    </row>
    <row r="142" spans="1:3" x14ac:dyDescent="0.25">
      <c r="A142" s="4">
        <v>37</v>
      </c>
      <c r="B142" s="4">
        <v>3</v>
      </c>
      <c r="C142" s="5"/>
    </row>
    <row r="143" spans="1:3" x14ac:dyDescent="0.25">
      <c r="A143" s="4">
        <v>40</v>
      </c>
      <c r="B143" s="4">
        <v>3</v>
      </c>
      <c r="C143" s="5"/>
    </row>
    <row r="144" spans="1:3" x14ac:dyDescent="0.25">
      <c r="A144" s="4">
        <v>40</v>
      </c>
      <c r="B144" s="4">
        <v>3</v>
      </c>
      <c r="C144" s="5"/>
    </row>
    <row r="145" spans="1:3" x14ac:dyDescent="0.25">
      <c r="A145" s="4">
        <v>36</v>
      </c>
      <c r="B145" s="4">
        <v>3</v>
      </c>
      <c r="C145" s="5"/>
    </row>
    <row r="146" spans="1:3" x14ac:dyDescent="0.25">
      <c r="A146" s="4">
        <v>44</v>
      </c>
      <c r="B146" s="4">
        <v>3</v>
      </c>
      <c r="C146" s="5"/>
    </row>
    <row r="147" spans="1:3" x14ac:dyDescent="0.25">
      <c r="A147" s="4">
        <v>40</v>
      </c>
      <c r="B147" s="4">
        <v>3</v>
      </c>
      <c r="C147" s="5"/>
    </row>
    <row r="148" spans="1:3" x14ac:dyDescent="0.25">
      <c r="A148" s="4">
        <v>38</v>
      </c>
      <c r="B148" s="4">
        <v>3</v>
      </c>
      <c r="C148" s="5"/>
    </row>
    <row r="149" spans="1:3" x14ac:dyDescent="0.25">
      <c r="A149" s="4">
        <v>41</v>
      </c>
      <c r="B149" s="4">
        <v>3</v>
      </c>
      <c r="C149" s="5"/>
    </row>
    <row r="150" spans="1:3" x14ac:dyDescent="0.25">
      <c r="A150" s="4">
        <v>45</v>
      </c>
      <c r="B150" s="4">
        <v>3</v>
      </c>
      <c r="C150" s="5"/>
    </row>
    <row r="151" spans="1:3" x14ac:dyDescent="0.25">
      <c r="A151" s="4">
        <v>40</v>
      </c>
      <c r="B151" s="4">
        <v>3</v>
      </c>
      <c r="C151" s="5"/>
    </row>
    <row r="152" spans="1:3" x14ac:dyDescent="0.25">
      <c r="A152" s="4">
        <v>45</v>
      </c>
      <c r="B152" s="4">
        <v>3</v>
      </c>
      <c r="C152" s="5"/>
    </row>
    <row r="153" spans="1:3" x14ac:dyDescent="0.25">
      <c r="A153" s="4">
        <v>42</v>
      </c>
      <c r="B153" s="4">
        <v>3</v>
      </c>
      <c r="C153" s="5"/>
    </row>
    <row r="154" spans="1:3" x14ac:dyDescent="0.25">
      <c r="A154" s="4">
        <v>38</v>
      </c>
      <c r="B154" s="4">
        <v>3</v>
      </c>
      <c r="C154" s="5"/>
    </row>
    <row r="155" spans="1:3" x14ac:dyDescent="0.25">
      <c r="A155" s="4">
        <v>45</v>
      </c>
      <c r="B155" s="4">
        <v>3</v>
      </c>
      <c r="C155" s="5"/>
    </row>
    <row r="156" spans="1:3" x14ac:dyDescent="0.25">
      <c r="A156" s="4">
        <v>44</v>
      </c>
      <c r="B156" s="4">
        <v>3</v>
      </c>
      <c r="C156" s="5"/>
    </row>
    <row r="157" spans="1:3" x14ac:dyDescent="0.25">
      <c r="A157" s="4">
        <v>46</v>
      </c>
      <c r="B157" s="4">
        <v>3</v>
      </c>
      <c r="C157" s="5"/>
    </row>
    <row r="158" spans="1:3" x14ac:dyDescent="0.25">
      <c r="A158" s="4">
        <v>41</v>
      </c>
      <c r="B158" s="4">
        <v>3</v>
      </c>
      <c r="C158" s="5"/>
    </row>
    <row r="159" spans="1:3" x14ac:dyDescent="0.25">
      <c r="A159" s="4">
        <v>42</v>
      </c>
      <c r="B159" s="4">
        <v>3</v>
      </c>
      <c r="C159" s="5"/>
    </row>
    <row r="160" spans="1:3" x14ac:dyDescent="0.25">
      <c r="A160" s="4">
        <v>39</v>
      </c>
      <c r="B160" s="4">
        <v>3</v>
      </c>
      <c r="C160" s="5"/>
    </row>
    <row r="161" spans="1:3" x14ac:dyDescent="0.25">
      <c r="A161" s="4">
        <v>36</v>
      </c>
      <c r="B161" s="4">
        <v>3</v>
      </c>
      <c r="C161" s="5"/>
    </row>
    <row r="162" spans="1:3" x14ac:dyDescent="0.25">
      <c r="A162" s="4">
        <v>44</v>
      </c>
      <c r="B162" s="4">
        <v>3</v>
      </c>
      <c r="C162" s="5"/>
    </row>
    <row r="163" spans="1:3" x14ac:dyDescent="0.25">
      <c r="A163" s="4">
        <v>33</v>
      </c>
      <c r="B163" s="4">
        <v>3</v>
      </c>
      <c r="C163" s="5"/>
    </row>
    <row r="164" spans="1:3" x14ac:dyDescent="0.25">
      <c r="A164" s="4">
        <v>37</v>
      </c>
      <c r="B164" s="4">
        <v>3</v>
      </c>
      <c r="C164" s="5"/>
    </row>
    <row r="165" spans="1:3" x14ac:dyDescent="0.25">
      <c r="A165" s="4">
        <v>40</v>
      </c>
      <c r="B165" s="4">
        <v>3</v>
      </c>
      <c r="C165" s="5"/>
    </row>
    <row r="166" spans="1:3" x14ac:dyDescent="0.25">
      <c r="A166" s="4">
        <v>32</v>
      </c>
      <c r="B166" s="4">
        <v>3</v>
      </c>
      <c r="C166" s="5"/>
    </row>
    <row r="167" spans="1:3" x14ac:dyDescent="0.25">
      <c r="A167" s="4">
        <v>46</v>
      </c>
      <c r="B167" s="4">
        <v>3</v>
      </c>
      <c r="C167" s="5"/>
    </row>
    <row r="168" spans="1:3" x14ac:dyDescent="0.25">
      <c r="A168" s="4">
        <v>45</v>
      </c>
      <c r="B168" s="4">
        <v>3</v>
      </c>
      <c r="C168" s="5"/>
    </row>
    <row r="169" spans="1:3" x14ac:dyDescent="0.25">
      <c r="A169" s="4">
        <v>43</v>
      </c>
      <c r="B169" s="4">
        <v>3</v>
      </c>
      <c r="C169" s="5"/>
    </row>
    <row r="170" spans="1:3" x14ac:dyDescent="0.25">
      <c r="A170" s="4">
        <v>44</v>
      </c>
      <c r="B170" s="4">
        <v>3</v>
      </c>
      <c r="C170" s="5"/>
    </row>
    <row r="171" spans="1:3" x14ac:dyDescent="0.25">
      <c r="A171" s="4">
        <v>35</v>
      </c>
      <c r="B171" s="4">
        <v>3</v>
      </c>
      <c r="C171" s="5"/>
    </row>
    <row r="172" spans="1:3" x14ac:dyDescent="0.25">
      <c r="A172" s="4">
        <v>35</v>
      </c>
      <c r="B172" s="4">
        <v>3</v>
      </c>
      <c r="C172" s="5"/>
    </row>
    <row r="173" spans="1:3" x14ac:dyDescent="0.25">
      <c r="A173" s="4">
        <v>37</v>
      </c>
      <c r="B173" s="4">
        <v>3</v>
      </c>
      <c r="C173" s="5"/>
    </row>
    <row r="174" spans="1:3" x14ac:dyDescent="0.25">
      <c r="A174" s="4">
        <v>41</v>
      </c>
      <c r="B174" s="4">
        <v>3</v>
      </c>
      <c r="C174" s="5"/>
    </row>
    <row r="175" spans="1:3" x14ac:dyDescent="0.25">
      <c r="A175" s="4">
        <v>39</v>
      </c>
      <c r="B175" s="4">
        <v>3</v>
      </c>
      <c r="C175" s="5"/>
    </row>
    <row r="176" spans="1:3" x14ac:dyDescent="0.25">
      <c r="A176" s="4">
        <v>42</v>
      </c>
      <c r="B176" s="4">
        <v>3</v>
      </c>
      <c r="C176" s="5"/>
    </row>
    <row r="177" spans="1:3" x14ac:dyDescent="0.25">
      <c r="A177" s="4">
        <v>40</v>
      </c>
      <c r="B177" s="4">
        <v>3</v>
      </c>
      <c r="C177" s="5"/>
    </row>
    <row r="178" spans="1:3" x14ac:dyDescent="0.25">
      <c r="A178" s="4">
        <v>42</v>
      </c>
      <c r="B178" s="4">
        <v>3</v>
      </c>
      <c r="C178" s="5"/>
    </row>
    <row r="179" spans="1:3" x14ac:dyDescent="0.25">
      <c r="A179" s="4">
        <v>39</v>
      </c>
      <c r="B179" s="4">
        <v>3</v>
      </c>
      <c r="C179" s="5"/>
    </row>
    <row r="180" spans="1:3" x14ac:dyDescent="0.25">
      <c r="A180" s="4">
        <v>33</v>
      </c>
      <c r="B180" s="4">
        <v>3</v>
      </c>
      <c r="C180" s="5"/>
    </row>
    <row r="181" spans="1:3" x14ac:dyDescent="0.25">
      <c r="A181" s="4">
        <v>38</v>
      </c>
      <c r="B181" s="4">
        <v>3</v>
      </c>
      <c r="C181" s="5"/>
    </row>
    <row r="182" spans="1:3" x14ac:dyDescent="0.25">
      <c r="A182" s="4">
        <v>41</v>
      </c>
      <c r="B182" s="4">
        <v>3</v>
      </c>
      <c r="C182" s="5"/>
    </row>
    <row r="183" spans="1:3" x14ac:dyDescent="0.25">
      <c r="A183" s="4">
        <v>38</v>
      </c>
      <c r="B183" s="4">
        <v>3</v>
      </c>
      <c r="C183" s="5"/>
    </row>
    <row r="184" spans="1:3" x14ac:dyDescent="0.25">
      <c r="A184" s="4">
        <v>34</v>
      </c>
      <c r="B184" s="4">
        <v>3</v>
      </c>
      <c r="C184" s="5"/>
    </row>
    <row r="185" spans="1:3" x14ac:dyDescent="0.25">
      <c r="A185" s="4">
        <v>42</v>
      </c>
      <c r="B185" s="4">
        <v>3</v>
      </c>
      <c r="C185" s="5"/>
    </row>
    <row r="186" spans="1:3" x14ac:dyDescent="0.25">
      <c r="A186" s="4">
        <v>33</v>
      </c>
      <c r="B186" s="4">
        <v>3</v>
      </c>
      <c r="C186" s="5"/>
    </row>
    <row r="187" spans="1:3" x14ac:dyDescent="0.25">
      <c r="A187" s="4">
        <v>39</v>
      </c>
      <c r="B187" s="4">
        <v>3</v>
      </c>
      <c r="C187" s="5"/>
    </row>
    <row r="188" spans="1:3" x14ac:dyDescent="0.25">
      <c r="A188" s="4">
        <v>37</v>
      </c>
      <c r="B188" s="4">
        <v>3</v>
      </c>
      <c r="C188" s="5"/>
    </row>
    <row r="189" spans="1:3" x14ac:dyDescent="0.25">
      <c r="A189" s="4">
        <v>42</v>
      </c>
      <c r="B189" s="4">
        <v>3</v>
      </c>
      <c r="C189" s="5"/>
    </row>
    <row r="190" spans="1:3" x14ac:dyDescent="0.25">
      <c r="A190" s="4">
        <v>39</v>
      </c>
      <c r="B190" s="4">
        <v>3</v>
      </c>
      <c r="C190" s="5"/>
    </row>
    <row r="191" spans="1:3" x14ac:dyDescent="0.25">
      <c r="A191" s="4">
        <v>38</v>
      </c>
      <c r="B191" s="4">
        <v>3</v>
      </c>
      <c r="C191" s="5"/>
    </row>
    <row r="192" spans="1:3" x14ac:dyDescent="0.25">
      <c r="A192" s="4">
        <v>41</v>
      </c>
      <c r="B192" s="4">
        <v>3</v>
      </c>
      <c r="C192" s="5"/>
    </row>
    <row r="193" spans="1:3" x14ac:dyDescent="0.25">
      <c r="A193" s="4">
        <v>39</v>
      </c>
      <c r="B193" s="4">
        <v>3</v>
      </c>
      <c r="C193" s="5"/>
    </row>
    <row r="194" spans="1:3" x14ac:dyDescent="0.25">
      <c r="A194" s="4">
        <v>37</v>
      </c>
      <c r="B194" s="4">
        <v>3</v>
      </c>
      <c r="C194" s="5"/>
    </row>
    <row r="195" spans="1:3" x14ac:dyDescent="0.25">
      <c r="A195" s="4">
        <v>41</v>
      </c>
      <c r="B195" s="4">
        <v>3</v>
      </c>
      <c r="C195" s="5"/>
    </row>
    <row r="196" spans="1:3" x14ac:dyDescent="0.25">
      <c r="A196" s="4">
        <v>39</v>
      </c>
      <c r="B196" s="4">
        <v>3</v>
      </c>
      <c r="C196" s="5"/>
    </row>
    <row r="197" spans="1:3" x14ac:dyDescent="0.25">
      <c r="A197" s="4">
        <v>39</v>
      </c>
      <c r="B197" s="4">
        <v>3</v>
      </c>
      <c r="C197" s="5"/>
    </row>
    <row r="198" spans="1:3" x14ac:dyDescent="0.25">
      <c r="A198" s="4">
        <v>41</v>
      </c>
      <c r="B198" s="4">
        <v>3</v>
      </c>
      <c r="C198" s="5"/>
    </row>
    <row r="199" spans="1:3" x14ac:dyDescent="0.25">
      <c r="A199" s="4">
        <v>44</v>
      </c>
      <c r="B199" s="4">
        <v>4</v>
      </c>
      <c r="C199" s="5"/>
    </row>
    <row r="200" spans="1:3" x14ac:dyDescent="0.25">
      <c r="A200" s="4">
        <v>39</v>
      </c>
      <c r="B200" s="4">
        <v>4</v>
      </c>
      <c r="C200" s="5"/>
    </row>
    <row r="201" spans="1:3" x14ac:dyDescent="0.25">
      <c r="A201" s="4">
        <v>35</v>
      </c>
      <c r="B201" s="4">
        <v>4</v>
      </c>
      <c r="C201" s="5"/>
    </row>
    <row r="202" spans="1:3" x14ac:dyDescent="0.25">
      <c r="A202" s="4">
        <v>33</v>
      </c>
      <c r="B202" s="4">
        <v>4</v>
      </c>
      <c r="C202" s="5"/>
    </row>
    <row r="203" spans="1:3" x14ac:dyDescent="0.25">
      <c r="A203" s="4">
        <v>40</v>
      </c>
      <c r="B203" s="4">
        <v>4</v>
      </c>
      <c r="C203" s="5"/>
    </row>
    <row r="204" spans="1:3" x14ac:dyDescent="0.25">
      <c r="A204" s="4">
        <v>42</v>
      </c>
      <c r="B204" s="4">
        <v>4</v>
      </c>
      <c r="C204" s="5"/>
    </row>
    <row r="205" spans="1:3" x14ac:dyDescent="0.25">
      <c r="A205" s="4">
        <v>42</v>
      </c>
      <c r="B205" s="4">
        <v>4</v>
      </c>
      <c r="C205" s="5"/>
    </row>
    <row r="206" spans="1:3" x14ac:dyDescent="0.25">
      <c r="A206" s="4">
        <v>37</v>
      </c>
      <c r="B206" s="4">
        <v>4</v>
      </c>
      <c r="C206" s="5"/>
    </row>
    <row r="207" spans="1:3" x14ac:dyDescent="0.25">
      <c r="A207" s="4">
        <v>46</v>
      </c>
      <c r="B207" s="4">
        <v>4</v>
      </c>
      <c r="C207" s="5"/>
    </row>
    <row r="208" spans="1:3" x14ac:dyDescent="0.25">
      <c r="A208" s="4">
        <v>36</v>
      </c>
      <c r="B208" s="4">
        <v>4</v>
      </c>
      <c r="C208" s="5"/>
    </row>
    <row r="209" spans="1:3" x14ac:dyDescent="0.25">
      <c r="A209" s="4">
        <v>44</v>
      </c>
      <c r="B209" s="4">
        <v>4</v>
      </c>
      <c r="C209" s="5"/>
    </row>
    <row r="210" spans="1:3" x14ac:dyDescent="0.25">
      <c r="A210" s="4">
        <v>40</v>
      </c>
      <c r="B210" s="4">
        <v>4</v>
      </c>
      <c r="C210" s="5"/>
    </row>
    <row r="211" spans="1:3" x14ac:dyDescent="0.25">
      <c r="A211" s="4">
        <v>43</v>
      </c>
      <c r="B211" s="4">
        <v>4</v>
      </c>
      <c r="C211" s="5"/>
    </row>
    <row r="212" spans="1:3" x14ac:dyDescent="0.25">
      <c r="A212" s="4">
        <v>37</v>
      </c>
      <c r="B212" s="4">
        <v>4</v>
      </c>
      <c r="C212" s="5"/>
    </row>
    <row r="213" spans="1:3" x14ac:dyDescent="0.25">
      <c r="A213" s="4">
        <v>40</v>
      </c>
      <c r="B213" s="4">
        <v>4</v>
      </c>
      <c r="C213" s="5"/>
    </row>
    <row r="214" spans="1:3" x14ac:dyDescent="0.25">
      <c r="A214" s="4">
        <v>43</v>
      </c>
      <c r="B214" s="4">
        <v>4</v>
      </c>
      <c r="C214" s="5"/>
    </row>
    <row r="215" spans="1:3" x14ac:dyDescent="0.25">
      <c r="A215" s="4">
        <v>41</v>
      </c>
      <c r="B215" s="4">
        <v>4</v>
      </c>
      <c r="C215" s="5"/>
    </row>
    <row r="216" spans="1:3" x14ac:dyDescent="0.25">
      <c r="A216" s="4">
        <v>39</v>
      </c>
      <c r="B216" s="4">
        <v>4</v>
      </c>
      <c r="C216" s="5"/>
    </row>
    <row r="217" spans="1:3" x14ac:dyDescent="0.25">
      <c r="A217" s="4">
        <v>38</v>
      </c>
      <c r="B217" s="4">
        <v>4</v>
      </c>
      <c r="C217" s="5"/>
    </row>
    <row r="218" spans="1:3" x14ac:dyDescent="0.25">
      <c r="A218" s="4">
        <v>44</v>
      </c>
      <c r="B218" s="4">
        <v>4</v>
      </c>
      <c r="C218" s="5"/>
    </row>
    <row r="219" spans="1:3" x14ac:dyDescent="0.25">
      <c r="A219" s="4">
        <v>36</v>
      </c>
      <c r="B219" s="4">
        <v>4</v>
      </c>
      <c r="C219" s="5"/>
    </row>
    <row r="220" spans="1:3" x14ac:dyDescent="0.25">
      <c r="A220" s="4">
        <v>45</v>
      </c>
      <c r="B220" s="4">
        <v>4</v>
      </c>
      <c r="C220" s="5"/>
    </row>
    <row r="221" spans="1:3" x14ac:dyDescent="0.25">
      <c r="A221" s="4">
        <v>36</v>
      </c>
      <c r="B221" s="4">
        <v>4</v>
      </c>
      <c r="C221" s="5"/>
    </row>
    <row r="222" spans="1:3" x14ac:dyDescent="0.25">
      <c r="A222" s="4">
        <v>40</v>
      </c>
      <c r="B222" s="4">
        <v>4</v>
      </c>
      <c r="C222" s="5"/>
    </row>
    <row r="223" spans="1:3" x14ac:dyDescent="0.25">
      <c r="A223" s="4">
        <v>40</v>
      </c>
      <c r="B223" s="4">
        <v>4</v>
      </c>
      <c r="C223" s="5"/>
    </row>
    <row r="224" spans="1:3" x14ac:dyDescent="0.25">
      <c r="A224" s="4">
        <v>39</v>
      </c>
      <c r="B224" s="4">
        <v>4</v>
      </c>
      <c r="C224" s="5"/>
    </row>
    <row r="225" spans="1:3" x14ac:dyDescent="0.25">
      <c r="A225" s="4">
        <v>40</v>
      </c>
      <c r="B225" s="4">
        <v>4</v>
      </c>
      <c r="C225" s="5"/>
    </row>
    <row r="226" spans="1:3" x14ac:dyDescent="0.25">
      <c r="A226" s="4">
        <v>42</v>
      </c>
      <c r="B226" s="4">
        <v>4</v>
      </c>
      <c r="C226" s="5"/>
    </row>
    <row r="227" spans="1:3" x14ac:dyDescent="0.25">
      <c r="A227" s="4">
        <v>35</v>
      </c>
      <c r="B227" s="4">
        <v>4</v>
      </c>
      <c r="C227" s="5"/>
    </row>
    <row r="228" spans="1:3" x14ac:dyDescent="0.25">
      <c r="A228" s="4">
        <v>45</v>
      </c>
      <c r="B228" s="4">
        <v>4</v>
      </c>
      <c r="C228" s="5"/>
    </row>
    <row r="229" spans="1:3" x14ac:dyDescent="0.25">
      <c r="A229" s="4">
        <v>33</v>
      </c>
      <c r="B229" s="4">
        <v>4</v>
      </c>
      <c r="C229" s="5"/>
    </row>
    <row r="230" spans="1:3" x14ac:dyDescent="0.25">
      <c r="A230" s="4">
        <v>43</v>
      </c>
      <c r="B230" s="4">
        <v>4</v>
      </c>
      <c r="C230" s="5"/>
    </row>
    <row r="231" spans="1:3" x14ac:dyDescent="0.25">
      <c r="A231" s="4">
        <v>40</v>
      </c>
      <c r="B231" s="4">
        <v>4</v>
      </c>
      <c r="C231" s="5"/>
    </row>
    <row r="232" spans="1:3" x14ac:dyDescent="0.25">
      <c r="A232" s="4">
        <v>38</v>
      </c>
      <c r="B232" s="4">
        <v>4</v>
      </c>
      <c r="C232" s="5"/>
    </row>
    <row r="233" spans="1:3" x14ac:dyDescent="0.25">
      <c r="A233" s="4">
        <v>42</v>
      </c>
      <c r="B233" s="4">
        <v>4</v>
      </c>
      <c r="C233" s="5"/>
    </row>
    <row r="234" spans="1:3" x14ac:dyDescent="0.25">
      <c r="A234" s="4">
        <v>44</v>
      </c>
      <c r="B234" s="4">
        <v>4</v>
      </c>
      <c r="C234" s="5"/>
    </row>
    <row r="235" spans="1:3" x14ac:dyDescent="0.25">
      <c r="A235" s="4">
        <v>42</v>
      </c>
      <c r="B235" s="4">
        <v>4</v>
      </c>
      <c r="C235" s="5"/>
    </row>
    <row r="236" spans="1:3" x14ac:dyDescent="0.25">
      <c r="A236" s="4">
        <v>32</v>
      </c>
      <c r="B236" s="4">
        <v>4</v>
      </c>
      <c r="C236" s="5"/>
    </row>
    <row r="237" spans="1:3" x14ac:dyDescent="0.25">
      <c r="A237" s="4">
        <v>42</v>
      </c>
      <c r="B237" s="4">
        <v>4</v>
      </c>
      <c r="C237" s="5"/>
    </row>
    <row r="238" spans="1:3" x14ac:dyDescent="0.25">
      <c r="A238" s="4">
        <v>36</v>
      </c>
      <c r="B238" s="4">
        <v>4</v>
      </c>
      <c r="C238" s="5"/>
    </row>
    <row r="239" spans="1:3" x14ac:dyDescent="0.25">
      <c r="A239" s="4">
        <v>39</v>
      </c>
      <c r="B239" s="4">
        <v>4</v>
      </c>
      <c r="C239" s="5"/>
    </row>
    <row r="240" spans="1:3" x14ac:dyDescent="0.25">
      <c r="A240" s="4">
        <v>42</v>
      </c>
      <c r="B240" s="4">
        <v>4</v>
      </c>
      <c r="C240" s="5"/>
    </row>
    <row r="241" spans="1:3" x14ac:dyDescent="0.25">
      <c r="A241" s="4">
        <v>42</v>
      </c>
      <c r="B241" s="4">
        <v>4</v>
      </c>
      <c r="C241" s="5"/>
    </row>
    <row r="242" spans="1:3" x14ac:dyDescent="0.25">
      <c r="A242" s="4">
        <v>40</v>
      </c>
      <c r="B242" s="4">
        <v>4</v>
      </c>
      <c r="C242" s="5"/>
    </row>
    <row r="243" spans="1:3" x14ac:dyDescent="0.25">
      <c r="A243" s="4">
        <v>43</v>
      </c>
      <c r="B243" s="4">
        <v>4</v>
      </c>
      <c r="C243" s="5"/>
    </row>
    <row r="244" spans="1:3" x14ac:dyDescent="0.25">
      <c r="A244" s="4">
        <v>37</v>
      </c>
      <c r="B244" s="4">
        <v>4</v>
      </c>
      <c r="C244" s="5"/>
    </row>
    <row r="245" spans="1:3" x14ac:dyDescent="0.25">
      <c r="A245" s="4">
        <v>39</v>
      </c>
      <c r="B245" s="4">
        <v>4</v>
      </c>
      <c r="C245" s="5"/>
    </row>
    <row r="246" spans="1:3" x14ac:dyDescent="0.25">
      <c r="A246" s="4">
        <v>42</v>
      </c>
      <c r="B246" s="4">
        <v>4</v>
      </c>
      <c r="C246" s="5"/>
    </row>
    <row r="247" spans="1:3" x14ac:dyDescent="0.25">
      <c r="A247" s="4">
        <v>42</v>
      </c>
      <c r="B247" s="4">
        <v>4</v>
      </c>
      <c r="C247" s="5"/>
    </row>
    <row r="248" spans="1:3" x14ac:dyDescent="0.25">
      <c r="A248" s="4">
        <v>39</v>
      </c>
      <c r="B248" s="4">
        <v>4</v>
      </c>
      <c r="C248" s="5"/>
    </row>
    <row r="249" spans="1:3" x14ac:dyDescent="0.25">
      <c r="A249" s="4">
        <v>41</v>
      </c>
      <c r="B249" s="4">
        <v>4</v>
      </c>
      <c r="C249" s="5"/>
    </row>
    <row r="250" spans="1:3" x14ac:dyDescent="0.25">
      <c r="A250" s="4">
        <v>39</v>
      </c>
      <c r="B250" s="4">
        <v>4</v>
      </c>
      <c r="C250" s="5"/>
    </row>
    <row r="251" spans="1:3" x14ac:dyDescent="0.25">
      <c r="A251" s="4">
        <v>41</v>
      </c>
      <c r="B251" s="4">
        <v>4</v>
      </c>
      <c r="C251" s="5"/>
    </row>
  </sheetData>
  <sortState xmlns:xlrd2="http://schemas.microsoft.com/office/spreadsheetml/2017/richdata2" ref="A2:C251">
    <sortCondition ref="B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CB114-B5FE-412D-8D72-5BC75C489D54}">
  <dimension ref="A1:S7"/>
  <sheetViews>
    <sheetView showGridLines="0" workbookViewId="0">
      <selection activeCell="H23" sqref="H23"/>
    </sheetView>
  </sheetViews>
  <sheetFormatPr defaultRowHeight="15" x14ac:dyDescent="0.25"/>
  <cols>
    <col min="1" max="1" width="29.140625" bestFit="1" customWidth="1"/>
    <col min="2" max="2" width="21.140625" style="8" bestFit="1" customWidth="1"/>
  </cols>
  <sheetData>
    <row r="1" spans="1:19" ht="21" thickTop="1" thickBot="1" x14ac:dyDescent="0.45">
      <c r="A1" s="1" t="s">
        <v>7</v>
      </c>
      <c r="B1" s="7">
        <f>_xlfn.STDEV.S(Sample!C2:C66)</f>
        <v>3.0300577552251386</v>
      </c>
      <c r="C1" s="18"/>
      <c r="D1" s="18"/>
      <c r="E1" s="18"/>
      <c r="F1" s="18"/>
      <c r="G1" s="18"/>
      <c r="H1" s="10"/>
      <c r="K1" s="19"/>
      <c r="L1" s="19"/>
      <c r="M1" s="19"/>
      <c r="N1" s="19"/>
      <c r="O1" s="19"/>
      <c r="P1" s="19"/>
      <c r="Q1" s="19"/>
      <c r="R1" s="19"/>
      <c r="S1" s="19"/>
    </row>
    <row r="2" spans="1:19" ht="21" thickTop="1" thickBot="1" x14ac:dyDescent="0.45">
      <c r="A2" s="1" t="s">
        <v>8</v>
      </c>
      <c r="B2" s="7">
        <f>AVERAGE(Sample!C2:C66)</f>
        <v>40.4</v>
      </c>
      <c r="C2" s="18"/>
      <c r="D2" s="18"/>
      <c r="E2" s="18"/>
      <c r="F2" s="18"/>
      <c r="G2" s="18"/>
      <c r="H2" s="10"/>
      <c r="K2" s="15">
        <f>B2-B5*B1/SQRT(B3)</f>
        <v>39.663382013236813</v>
      </c>
      <c r="L2" s="15">
        <f>B2+B5*B1/SQRT(B3)</f>
        <v>41.136617986763184</v>
      </c>
      <c r="M2" s="19"/>
      <c r="N2" s="19"/>
      <c r="O2" s="19"/>
      <c r="P2" s="19"/>
      <c r="Q2" s="19"/>
      <c r="R2" s="19"/>
      <c r="S2" s="19"/>
    </row>
    <row r="3" spans="1:19" ht="21" thickTop="1" thickBot="1" x14ac:dyDescent="0.45">
      <c r="A3" s="1" t="s">
        <v>9</v>
      </c>
      <c r="B3" s="9">
        <f>COUNT(Sample!C2:C66)</f>
        <v>65</v>
      </c>
      <c r="C3" s="18"/>
      <c r="D3" s="18"/>
      <c r="E3" s="18"/>
      <c r="F3" s="18"/>
      <c r="G3" s="18"/>
      <c r="H3" s="10"/>
      <c r="K3" s="19"/>
      <c r="L3" s="19"/>
      <c r="M3" s="19"/>
      <c r="N3" s="19"/>
      <c r="O3" s="19"/>
      <c r="P3" s="19"/>
      <c r="Q3" s="19"/>
      <c r="R3" s="19"/>
      <c r="S3" s="19"/>
    </row>
    <row r="4" spans="1:19" ht="21" thickTop="1" thickBot="1" x14ac:dyDescent="0.45">
      <c r="A4" s="1" t="s">
        <v>10</v>
      </c>
      <c r="B4" s="7">
        <v>0.95</v>
      </c>
      <c r="C4" s="18"/>
      <c r="D4" s="18"/>
      <c r="E4" s="18"/>
      <c r="F4" s="18"/>
      <c r="G4" s="18"/>
      <c r="H4" s="10"/>
      <c r="K4" s="19"/>
      <c r="L4" s="19"/>
      <c r="M4" s="19"/>
      <c r="N4" s="19"/>
      <c r="O4" s="19"/>
      <c r="P4" s="19"/>
      <c r="Q4" s="19"/>
      <c r="R4" s="19"/>
      <c r="S4" s="19"/>
    </row>
    <row r="5" spans="1:19" ht="21" thickTop="1" thickBot="1" x14ac:dyDescent="0.45">
      <c r="A5" s="1" t="s">
        <v>11</v>
      </c>
      <c r="B5" s="7">
        <f>_xlfn.NORM.S.INV(0.975)</f>
        <v>1.9599639845400536</v>
      </c>
      <c r="C5" s="18"/>
      <c r="D5" s="18"/>
      <c r="E5" s="18"/>
      <c r="F5" s="18"/>
      <c r="G5" s="18"/>
      <c r="H5" s="10"/>
      <c r="K5" s="19"/>
      <c r="L5" s="19"/>
      <c r="M5" s="19"/>
      <c r="N5" s="19"/>
      <c r="O5" s="19"/>
      <c r="P5" s="19"/>
      <c r="Q5" s="19"/>
      <c r="R5" s="19"/>
      <c r="S5" s="19"/>
    </row>
    <row r="6" spans="1:19" ht="21" thickTop="1" thickBot="1" x14ac:dyDescent="0.45">
      <c r="A6" s="1" t="s">
        <v>12</v>
      </c>
      <c r="B6" s="7" t="str">
        <f>ROUND(K2,4)&amp;" ; "&amp;ROUND(L2,4)</f>
        <v>39,6634 ; 41,1366</v>
      </c>
      <c r="C6" s="18"/>
      <c r="D6" s="18"/>
      <c r="E6" s="18"/>
      <c r="F6" s="18"/>
      <c r="G6" s="18"/>
      <c r="H6" s="10"/>
      <c r="K6" s="19"/>
      <c r="L6" s="19"/>
      <c r="M6" s="19"/>
      <c r="N6" s="19"/>
      <c r="O6" s="19"/>
      <c r="P6" s="19"/>
      <c r="Q6" s="19"/>
      <c r="R6" s="19"/>
      <c r="S6" s="19"/>
    </row>
    <row r="7" spans="1:19" ht="15.75" thickTop="1" x14ac:dyDescent="0.25">
      <c r="K7" s="19"/>
      <c r="L7" s="19"/>
      <c r="M7" s="19"/>
      <c r="N7" s="19"/>
      <c r="O7" s="19"/>
      <c r="P7" s="19"/>
      <c r="Q7" s="19"/>
      <c r="R7" s="19"/>
      <c r="S7" s="19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E8320-271F-47FD-A702-C2EFD7F674B3}">
  <dimension ref="A1:I251"/>
  <sheetViews>
    <sheetView showGridLines="0" workbookViewId="0">
      <selection activeCell="I27" sqref="I27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17.140625" bestFit="1" customWidth="1"/>
    <col min="7" max="7" width="27.140625" bestFit="1" customWidth="1"/>
    <col min="9" max="9" width="129.7109375" style="11" customWidth="1"/>
  </cols>
  <sheetData>
    <row r="1" spans="1:9" ht="21" thickTop="1" thickBot="1" x14ac:dyDescent="0.3">
      <c r="A1" s="1" t="s">
        <v>5</v>
      </c>
      <c r="B1" s="1" t="s">
        <v>13</v>
      </c>
      <c r="C1" s="1" t="s">
        <v>14</v>
      </c>
    </row>
    <row r="2" spans="1:9" ht="21" thickTop="1" thickBot="1" x14ac:dyDescent="0.3">
      <c r="A2" s="4">
        <v>39</v>
      </c>
      <c r="B2" s="4">
        <v>7</v>
      </c>
      <c r="C2" s="13">
        <f>$H$3*A2+SQRT(1-$H$3^2)*B2</f>
        <v>38.623428511917162</v>
      </c>
      <c r="G2" s="1" t="s">
        <v>17</v>
      </c>
      <c r="H2" s="12">
        <f>CORREL(A2:A66,B2:B66)</f>
        <v>0.18045756519015815</v>
      </c>
      <c r="I2" s="16" t="s">
        <v>21</v>
      </c>
    </row>
    <row r="3" spans="1:9" ht="21" thickTop="1" thickBot="1" x14ac:dyDescent="0.3">
      <c r="A3" s="4">
        <v>40</v>
      </c>
      <c r="B3" s="4">
        <v>2</v>
      </c>
      <c r="C3" s="13">
        <f t="shared" ref="C3:C66" si="0">$H$3*A3+SQRT(1-$H$3^2)*B3</f>
        <v>37.583836717690623</v>
      </c>
      <c r="G3" s="1" t="s">
        <v>18</v>
      </c>
      <c r="H3" s="12">
        <v>0.92</v>
      </c>
      <c r="I3" s="17"/>
    </row>
    <row r="4" spans="1:9" ht="21" thickTop="1" thickBot="1" x14ac:dyDescent="0.3">
      <c r="A4" s="4">
        <v>42</v>
      </c>
      <c r="B4" s="4">
        <v>6</v>
      </c>
      <c r="C4" s="13">
        <f t="shared" si="0"/>
        <v>40.99151015307185</v>
      </c>
      <c r="G4" s="1" t="s">
        <v>19</v>
      </c>
      <c r="H4" s="12">
        <f>CORREL(A2:A66,C2:C66)</f>
        <v>0.97249402285629527</v>
      </c>
      <c r="I4" s="16" t="s">
        <v>22</v>
      </c>
    </row>
    <row r="5" spans="1:9" ht="15.75" thickTop="1" x14ac:dyDescent="0.25">
      <c r="A5" s="4">
        <v>39</v>
      </c>
      <c r="B5" s="4">
        <v>6</v>
      </c>
      <c r="C5" s="13">
        <f t="shared" si="0"/>
        <v>38.231510153071852</v>
      </c>
    </row>
    <row r="6" spans="1:9" x14ac:dyDescent="0.25">
      <c r="A6" s="4">
        <v>42</v>
      </c>
      <c r="B6" s="4">
        <v>6</v>
      </c>
      <c r="C6" s="13">
        <f t="shared" si="0"/>
        <v>40.99151015307185</v>
      </c>
    </row>
    <row r="7" spans="1:9" x14ac:dyDescent="0.25">
      <c r="A7" s="4">
        <v>42</v>
      </c>
      <c r="B7" s="4">
        <v>2</v>
      </c>
      <c r="C7" s="13">
        <f t="shared" si="0"/>
        <v>39.423836717690619</v>
      </c>
    </row>
    <row r="8" spans="1:9" x14ac:dyDescent="0.25">
      <c r="A8" s="4">
        <v>40</v>
      </c>
      <c r="B8" s="4">
        <v>5</v>
      </c>
      <c r="C8" s="13">
        <f t="shared" si="0"/>
        <v>38.759591794226544</v>
      </c>
    </row>
    <row r="9" spans="1:9" x14ac:dyDescent="0.25">
      <c r="A9" s="4">
        <v>43</v>
      </c>
      <c r="B9" s="4">
        <v>6</v>
      </c>
      <c r="C9" s="13">
        <f t="shared" si="0"/>
        <v>41.911510153071852</v>
      </c>
    </row>
    <row r="10" spans="1:9" x14ac:dyDescent="0.25">
      <c r="A10" s="4">
        <v>44</v>
      </c>
      <c r="B10" s="4">
        <v>5</v>
      </c>
      <c r="C10" s="13">
        <f t="shared" si="0"/>
        <v>42.439591794226544</v>
      </c>
    </row>
    <row r="11" spans="1:9" x14ac:dyDescent="0.25">
      <c r="A11" s="4">
        <v>44</v>
      </c>
      <c r="B11" s="4">
        <v>1</v>
      </c>
      <c r="C11" s="13">
        <f t="shared" si="0"/>
        <v>40.871918358845313</v>
      </c>
    </row>
    <row r="12" spans="1:9" x14ac:dyDescent="0.25">
      <c r="A12" s="4">
        <v>42</v>
      </c>
      <c r="B12" s="4">
        <v>5</v>
      </c>
      <c r="C12" s="13">
        <f t="shared" si="0"/>
        <v>40.599591794226541</v>
      </c>
    </row>
    <row r="13" spans="1:9" x14ac:dyDescent="0.25">
      <c r="A13" s="4">
        <v>46</v>
      </c>
      <c r="B13" s="4">
        <v>5</v>
      </c>
      <c r="C13" s="13">
        <f t="shared" si="0"/>
        <v>44.27959179422654</v>
      </c>
    </row>
    <row r="14" spans="1:9" x14ac:dyDescent="0.25">
      <c r="A14" s="4">
        <v>41</v>
      </c>
      <c r="B14" s="4">
        <v>5</v>
      </c>
      <c r="C14" s="13">
        <f t="shared" si="0"/>
        <v>39.679591794226539</v>
      </c>
    </row>
    <row r="15" spans="1:9" x14ac:dyDescent="0.25">
      <c r="A15" s="4">
        <v>40</v>
      </c>
      <c r="B15" s="4">
        <v>4</v>
      </c>
      <c r="C15" s="13">
        <f t="shared" si="0"/>
        <v>38.367673435381235</v>
      </c>
    </row>
    <row r="16" spans="1:9" x14ac:dyDescent="0.25">
      <c r="A16" s="4">
        <v>46</v>
      </c>
      <c r="B16" s="4">
        <v>5</v>
      </c>
      <c r="C16" s="13">
        <f t="shared" si="0"/>
        <v>44.27959179422654</v>
      </c>
    </row>
    <row r="17" spans="1:3" x14ac:dyDescent="0.25">
      <c r="A17" s="4">
        <v>38</v>
      </c>
      <c r="B17" s="4">
        <v>2</v>
      </c>
      <c r="C17" s="13">
        <f t="shared" si="0"/>
        <v>35.74383671769062</v>
      </c>
    </row>
    <row r="18" spans="1:3" x14ac:dyDescent="0.25">
      <c r="A18" s="4">
        <v>41</v>
      </c>
      <c r="B18" s="4">
        <v>1</v>
      </c>
      <c r="C18" s="13">
        <f t="shared" si="0"/>
        <v>38.111918358845308</v>
      </c>
    </row>
    <row r="19" spans="1:3" x14ac:dyDescent="0.25">
      <c r="A19" s="4">
        <v>39</v>
      </c>
      <c r="B19" s="4">
        <v>5</v>
      </c>
      <c r="C19" s="13">
        <f t="shared" si="0"/>
        <v>37.839591794226543</v>
      </c>
    </row>
    <row r="20" spans="1:3" x14ac:dyDescent="0.25">
      <c r="A20" s="4">
        <v>38</v>
      </c>
      <c r="B20" s="4">
        <v>7</v>
      </c>
      <c r="C20" s="13">
        <f t="shared" si="0"/>
        <v>37.70342851191716</v>
      </c>
    </row>
    <row r="21" spans="1:3" x14ac:dyDescent="0.25">
      <c r="A21" s="4">
        <v>38</v>
      </c>
      <c r="B21" s="4">
        <v>6</v>
      </c>
      <c r="C21" s="13">
        <f t="shared" si="0"/>
        <v>37.31151015307185</v>
      </c>
    </row>
    <row r="22" spans="1:3" x14ac:dyDescent="0.25">
      <c r="A22" s="4">
        <v>40</v>
      </c>
      <c r="B22" s="4">
        <v>7</v>
      </c>
      <c r="C22" s="13">
        <f t="shared" si="0"/>
        <v>39.543428511917163</v>
      </c>
    </row>
    <row r="23" spans="1:3" x14ac:dyDescent="0.25">
      <c r="A23" s="4">
        <v>37</v>
      </c>
      <c r="B23" s="4">
        <v>4</v>
      </c>
      <c r="C23" s="13">
        <f t="shared" si="0"/>
        <v>35.60767343538123</v>
      </c>
    </row>
    <row r="24" spans="1:3" x14ac:dyDescent="0.25">
      <c r="A24" s="4">
        <v>40</v>
      </c>
      <c r="B24" s="4">
        <v>6</v>
      </c>
      <c r="C24" s="13">
        <f t="shared" si="0"/>
        <v>39.151510153071854</v>
      </c>
    </row>
    <row r="25" spans="1:3" x14ac:dyDescent="0.25">
      <c r="A25" s="4">
        <v>33</v>
      </c>
      <c r="B25" s="4">
        <v>2</v>
      </c>
      <c r="C25" s="13">
        <f t="shared" si="0"/>
        <v>31.143836717690618</v>
      </c>
    </row>
    <row r="26" spans="1:3" x14ac:dyDescent="0.25">
      <c r="A26" s="4">
        <v>48</v>
      </c>
      <c r="B26" s="4">
        <v>4</v>
      </c>
      <c r="C26" s="13">
        <f t="shared" si="0"/>
        <v>45.727673435381234</v>
      </c>
    </row>
    <row r="27" spans="1:3" x14ac:dyDescent="0.25">
      <c r="A27" s="4">
        <v>41</v>
      </c>
      <c r="B27" s="4">
        <v>7</v>
      </c>
      <c r="C27" s="13">
        <f t="shared" si="0"/>
        <v>40.463428511917158</v>
      </c>
    </row>
    <row r="28" spans="1:3" x14ac:dyDescent="0.25">
      <c r="A28" s="4">
        <v>35</v>
      </c>
      <c r="B28" s="4">
        <v>6</v>
      </c>
      <c r="C28" s="13">
        <f t="shared" si="0"/>
        <v>34.551510153071852</v>
      </c>
    </row>
    <row r="29" spans="1:3" x14ac:dyDescent="0.25">
      <c r="A29" s="4">
        <v>34</v>
      </c>
      <c r="B29" s="4">
        <v>3</v>
      </c>
      <c r="C29" s="13">
        <f t="shared" si="0"/>
        <v>32.45575507653593</v>
      </c>
    </row>
    <row r="30" spans="1:3" x14ac:dyDescent="0.25">
      <c r="A30" s="4">
        <v>38</v>
      </c>
      <c r="B30" s="4">
        <v>2</v>
      </c>
      <c r="C30" s="13">
        <f t="shared" si="0"/>
        <v>35.74383671769062</v>
      </c>
    </row>
    <row r="31" spans="1:3" x14ac:dyDescent="0.25">
      <c r="A31" s="4">
        <v>36</v>
      </c>
      <c r="B31" s="4">
        <v>1</v>
      </c>
      <c r="C31" s="13">
        <f t="shared" si="0"/>
        <v>33.511918358845314</v>
      </c>
    </row>
    <row r="32" spans="1:3" x14ac:dyDescent="0.25">
      <c r="A32" s="4">
        <v>42</v>
      </c>
      <c r="B32" s="4">
        <v>4</v>
      </c>
      <c r="C32" s="13">
        <f t="shared" si="0"/>
        <v>40.207673435381231</v>
      </c>
    </row>
    <row r="33" spans="1:3" x14ac:dyDescent="0.25">
      <c r="A33" s="4">
        <v>38</v>
      </c>
      <c r="B33" s="4">
        <v>6</v>
      </c>
      <c r="C33" s="13">
        <f t="shared" si="0"/>
        <v>37.31151015307185</v>
      </c>
    </row>
    <row r="34" spans="1:3" x14ac:dyDescent="0.25">
      <c r="A34" s="4">
        <v>39</v>
      </c>
      <c r="B34" s="4">
        <v>4</v>
      </c>
      <c r="C34" s="13">
        <f t="shared" si="0"/>
        <v>37.447673435381233</v>
      </c>
    </row>
    <row r="35" spans="1:3" x14ac:dyDescent="0.25">
      <c r="A35" s="4">
        <v>40</v>
      </c>
      <c r="B35" s="4">
        <v>4</v>
      </c>
      <c r="C35" s="13">
        <f t="shared" si="0"/>
        <v>38.367673435381235</v>
      </c>
    </row>
    <row r="36" spans="1:3" x14ac:dyDescent="0.25">
      <c r="A36" s="4">
        <v>40</v>
      </c>
      <c r="B36" s="4">
        <v>7</v>
      </c>
      <c r="C36" s="13">
        <f t="shared" si="0"/>
        <v>39.543428511917163</v>
      </c>
    </row>
    <row r="37" spans="1:3" x14ac:dyDescent="0.25">
      <c r="A37" s="4">
        <v>43</v>
      </c>
      <c r="B37" s="4">
        <v>7</v>
      </c>
      <c r="C37" s="13">
        <f t="shared" si="0"/>
        <v>42.303428511917161</v>
      </c>
    </row>
    <row r="38" spans="1:3" x14ac:dyDescent="0.25">
      <c r="A38" s="4">
        <v>45</v>
      </c>
      <c r="B38" s="4">
        <v>7</v>
      </c>
      <c r="C38" s="13">
        <f t="shared" si="0"/>
        <v>44.143428511917158</v>
      </c>
    </row>
    <row r="39" spans="1:3" x14ac:dyDescent="0.25">
      <c r="A39" s="4">
        <v>40</v>
      </c>
      <c r="B39" s="4">
        <v>5</v>
      </c>
      <c r="C39" s="13">
        <f t="shared" si="0"/>
        <v>38.759591794226544</v>
      </c>
    </row>
    <row r="40" spans="1:3" x14ac:dyDescent="0.25">
      <c r="A40" s="4">
        <v>40</v>
      </c>
      <c r="B40" s="4">
        <v>4</v>
      </c>
      <c r="C40" s="13">
        <f t="shared" si="0"/>
        <v>38.367673435381235</v>
      </c>
    </row>
    <row r="41" spans="1:3" x14ac:dyDescent="0.25">
      <c r="A41" s="4">
        <v>41</v>
      </c>
      <c r="B41" s="4">
        <v>7</v>
      </c>
      <c r="C41" s="13">
        <f t="shared" si="0"/>
        <v>40.463428511917158</v>
      </c>
    </row>
    <row r="42" spans="1:3" x14ac:dyDescent="0.25">
      <c r="A42" s="4">
        <v>40</v>
      </c>
      <c r="B42" s="4">
        <v>6</v>
      </c>
      <c r="C42" s="13">
        <f t="shared" si="0"/>
        <v>39.151510153071854</v>
      </c>
    </row>
    <row r="43" spans="1:3" x14ac:dyDescent="0.25">
      <c r="A43" s="4">
        <v>37</v>
      </c>
      <c r="B43" s="4">
        <v>2</v>
      </c>
      <c r="C43" s="13">
        <f t="shared" si="0"/>
        <v>34.823836717690618</v>
      </c>
    </row>
    <row r="44" spans="1:3" x14ac:dyDescent="0.25">
      <c r="A44" s="4">
        <v>41</v>
      </c>
      <c r="B44" s="4">
        <v>6</v>
      </c>
      <c r="C44" s="13">
        <f t="shared" si="0"/>
        <v>40.071510153071848</v>
      </c>
    </row>
    <row r="45" spans="1:3" x14ac:dyDescent="0.25">
      <c r="A45" s="4">
        <v>37</v>
      </c>
      <c r="B45" s="4">
        <v>4</v>
      </c>
      <c r="C45" s="13">
        <f t="shared" si="0"/>
        <v>35.60767343538123</v>
      </c>
    </row>
    <row r="46" spans="1:3" x14ac:dyDescent="0.25">
      <c r="A46" s="4">
        <v>44</v>
      </c>
      <c r="B46" s="4">
        <v>2</v>
      </c>
      <c r="C46" s="13">
        <f t="shared" si="0"/>
        <v>41.263836717690623</v>
      </c>
    </row>
    <row r="47" spans="1:3" x14ac:dyDescent="0.25">
      <c r="A47" s="4">
        <v>36</v>
      </c>
      <c r="B47" s="4">
        <v>4</v>
      </c>
      <c r="C47" s="13">
        <f t="shared" si="0"/>
        <v>34.687673435381235</v>
      </c>
    </row>
    <row r="48" spans="1:3" x14ac:dyDescent="0.25">
      <c r="A48" s="4">
        <v>40</v>
      </c>
      <c r="B48" s="4">
        <v>3</v>
      </c>
      <c r="C48" s="13">
        <f t="shared" si="0"/>
        <v>37.975755076535933</v>
      </c>
    </row>
    <row r="49" spans="1:3" x14ac:dyDescent="0.25">
      <c r="A49" s="4">
        <v>42</v>
      </c>
      <c r="B49" s="4">
        <v>2</v>
      </c>
      <c r="C49" s="13">
        <f t="shared" si="0"/>
        <v>39.423836717690619</v>
      </c>
    </row>
    <row r="50" spans="1:3" x14ac:dyDescent="0.25">
      <c r="A50" s="4">
        <v>40</v>
      </c>
      <c r="B50" s="4">
        <v>3</v>
      </c>
      <c r="C50" s="13">
        <f t="shared" si="0"/>
        <v>37.975755076535933</v>
      </c>
    </row>
    <row r="51" spans="1:3" x14ac:dyDescent="0.25">
      <c r="A51" s="4">
        <v>45</v>
      </c>
      <c r="B51" s="4">
        <v>5</v>
      </c>
      <c r="C51" s="13">
        <f t="shared" si="0"/>
        <v>43.359591794226539</v>
      </c>
    </row>
    <row r="52" spans="1:3" x14ac:dyDescent="0.25">
      <c r="A52" s="4">
        <v>45</v>
      </c>
      <c r="B52" s="4">
        <v>7</v>
      </c>
      <c r="C52" s="13">
        <f t="shared" si="0"/>
        <v>44.143428511917158</v>
      </c>
    </row>
    <row r="53" spans="1:3" x14ac:dyDescent="0.25">
      <c r="A53" s="4">
        <v>37</v>
      </c>
      <c r="B53" s="4">
        <v>3</v>
      </c>
      <c r="C53" s="13">
        <f t="shared" si="0"/>
        <v>35.215755076535928</v>
      </c>
    </row>
    <row r="54" spans="1:3" x14ac:dyDescent="0.25">
      <c r="A54" s="4">
        <v>40</v>
      </c>
      <c r="B54" s="4">
        <v>4</v>
      </c>
      <c r="C54" s="13">
        <f t="shared" si="0"/>
        <v>38.367673435381235</v>
      </c>
    </row>
    <row r="55" spans="1:3" x14ac:dyDescent="0.25">
      <c r="A55" s="4">
        <v>42</v>
      </c>
      <c r="B55" s="4">
        <v>4</v>
      </c>
      <c r="C55" s="13">
        <f t="shared" si="0"/>
        <v>40.207673435381231</v>
      </c>
    </row>
    <row r="56" spans="1:3" x14ac:dyDescent="0.25">
      <c r="A56" s="4">
        <v>43</v>
      </c>
      <c r="B56" s="4">
        <v>5</v>
      </c>
      <c r="C56" s="13">
        <f t="shared" si="0"/>
        <v>41.519591794226542</v>
      </c>
    </row>
    <row r="57" spans="1:3" x14ac:dyDescent="0.25">
      <c r="A57" s="4">
        <v>46</v>
      </c>
      <c r="B57" s="4">
        <v>4</v>
      </c>
      <c r="C57" s="13">
        <f t="shared" si="0"/>
        <v>43.887673435381231</v>
      </c>
    </row>
    <row r="58" spans="1:3" x14ac:dyDescent="0.25">
      <c r="A58" s="4">
        <v>36</v>
      </c>
      <c r="B58" s="4">
        <v>7</v>
      </c>
      <c r="C58" s="13">
        <f t="shared" si="0"/>
        <v>35.863428511917164</v>
      </c>
    </row>
    <row r="59" spans="1:3" x14ac:dyDescent="0.25">
      <c r="A59" s="4">
        <v>41</v>
      </c>
      <c r="B59" s="4">
        <v>3</v>
      </c>
      <c r="C59" s="13">
        <f t="shared" si="0"/>
        <v>38.895755076535927</v>
      </c>
    </row>
    <row r="60" spans="1:3" x14ac:dyDescent="0.25">
      <c r="A60" s="4">
        <v>40</v>
      </c>
      <c r="B60" s="4">
        <v>6</v>
      </c>
      <c r="C60" s="13">
        <f t="shared" si="0"/>
        <v>39.151510153071854</v>
      </c>
    </row>
    <row r="61" spans="1:3" x14ac:dyDescent="0.25">
      <c r="A61" s="4">
        <v>36</v>
      </c>
      <c r="B61" s="4">
        <v>1</v>
      </c>
      <c r="C61" s="13">
        <f t="shared" si="0"/>
        <v>33.511918358845314</v>
      </c>
    </row>
    <row r="62" spans="1:3" x14ac:dyDescent="0.25">
      <c r="A62" s="4">
        <v>42</v>
      </c>
      <c r="B62" s="4">
        <v>4</v>
      </c>
      <c r="C62" s="13">
        <f t="shared" si="0"/>
        <v>40.207673435381231</v>
      </c>
    </row>
    <row r="63" spans="1:3" x14ac:dyDescent="0.25">
      <c r="A63" s="4">
        <v>41</v>
      </c>
      <c r="B63" s="4">
        <v>5</v>
      </c>
      <c r="C63" s="13">
        <f t="shared" si="0"/>
        <v>39.679591794226539</v>
      </c>
    </row>
    <row r="64" spans="1:3" x14ac:dyDescent="0.25">
      <c r="A64" s="4">
        <v>41</v>
      </c>
      <c r="B64" s="4">
        <v>5</v>
      </c>
      <c r="C64" s="13">
        <f t="shared" si="0"/>
        <v>39.679591794226539</v>
      </c>
    </row>
    <row r="65" spans="1:3" x14ac:dyDescent="0.25">
      <c r="A65" s="4">
        <v>39</v>
      </c>
      <c r="B65" s="4">
        <v>4</v>
      </c>
      <c r="C65" s="13">
        <f t="shared" si="0"/>
        <v>37.447673435381233</v>
      </c>
    </row>
    <row r="66" spans="1:3" x14ac:dyDescent="0.25">
      <c r="A66" s="4">
        <v>41</v>
      </c>
      <c r="B66" s="4">
        <v>2</v>
      </c>
      <c r="C66" s="13">
        <f t="shared" si="0"/>
        <v>38.503836717690618</v>
      </c>
    </row>
    <row r="67" spans="1:3" x14ac:dyDescent="0.25">
      <c r="A67" s="5"/>
    </row>
    <row r="68" spans="1:3" x14ac:dyDescent="0.25">
      <c r="A68" s="5"/>
    </row>
    <row r="69" spans="1:3" x14ac:dyDescent="0.25">
      <c r="A69" s="5"/>
    </row>
    <row r="70" spans="1:3" x14ac:dyDescent="0.25">
      <c r="A70" s="5"/>
    </row>
    <row r="71" spans="1:3" x14ac:dyDescent="0.25">
      <c r="A71" s="5"/>
    </row>
    <row r="72" spans="1:3" x14ac:dyDescent="0.25">
      <c r="A72" s="5"/>
    </row>
    <row r="73" spans="1:3" x14ac:dyDescent="0.25">
      <c r="A73" s="5"/>
    </row>
    <row r="74" spans="1:3" x14ac:dyDescent="0.25">
      <c r="A74" s="5"/>
    </row>
    <row r="75" spans="1:3" x14ac:dyDescent="0.25">
      <c r="A75" s="5"/>
    </row>
    <row r="76" spans="1:3" x14ac:dyDescent="0.25">
      <c r="A76" s="5"/>
    </row>
    <row r="77" spans="1:3" x14ac:dyDescent="0.25">
      <c r="A77" s="5"/>
    </row>
    <row r="78" spans="1:3" x14ac:dyDescent="0.25">
      <c r="A78" s="5"/>
    </row>
    <row r="79" spans="1:3" x14ac:dyDescent="0.25">
      <c r="A79" s="5"/>
    </row>
    <row r="80" spans="1:3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  <row r="218" spans="1:1" x14ac:dyDescent="0.25">
      <c r="A218" s="5"/>
    </row>
    <row r="219" spans="1:1" x14ac:dyDescent="0.25">
      <c r="A219" s="5"/>
    </row>
    <row r="220" spans="1:1" x14ac:dyDescent="0.25">
      <c r="A220" s="5"/>
    </row>
    <row r="221" spans="1:1" x14ac:dyDescent="0.25">
      <c r="A221" s="5"/>
    </row>
    <row r="222" spans="1:1" x14ac:dyDescent="0.25">
      <c r="A222" s="5"/>
    </row>
    <row r="223" spans="1:1" x14ac:dyDescent="0.25">
      <c r="A223" s="5"/>
    </row>
    <row r="224" spans="1:1" x14ac:dyDescent="0.25">
      <c r="A224" s="5"/>
    </row>
    <row r="225" spans="1:1" x14ac:dyDescent="0.25">
      <c r="A225" s="5"/>
    </row>
    <row r="226" spans="1:1" x14ac:dyDescent="0.25">
      <c r="A226" s="5"/>
    </row>
    <row r="227" spans="1:1" x14ac:dyDescent="0.25">
      <c r="A227" s="5"/>
    </row>
    <row r="228" spans="1:1" x14ac:dyDescent="0.25">
      <c r="A228" s="5"/>
    </row>
    <row r="229" spans="1:1" x14ac:dyDescent="0.25">
      <c r="A229" s="5"/>
    </row>
    <row r="230" spans="1:1" x14ac:dyDescent="0.25">
      <c r="A230" s="5"/>
    </row>
    <row r="231" spans="1:1" x14ac:dyDescent="0.25">
      <c r="A231" s="5"/>
    </row>
    <row r="232" spans="1:1" x14ac:dyDescent="0.25">
      <c r="A232" s="5"/>
    </row>
    <row r="233" spans="1:1" x14ac:dyDescent="0.25">
      <c r="A233" s="5"/>
    </row>
    <row r="234" spans="1:1" x14ac:dyDescent="0.25">
      <c r="A234" s="5"/>
    </row>
    <row r="235" spans="1:1" x14ac:dyDescent="0.25">
      <c r="A235" s="5"/>
    </row>
    <row r="236" spans="1:1" x14ac:dyDescent="0.25">
      <c r="A236" s="5"/>
    </row>
    <row r="237" spans="1:1" x14ac:dyDescent="0.25">
      <c r="A237" s="5"/>
    </row>
    <row r="238" spans="1:1" x14ac:dyDescent="0.25">
      <c r="A238" s="5"/>
    </row>
    <row r="239" spans="1:1" x14ac:dyDescent="0.25">
      <c r="A239" s="5"/>
    </row>
    <row r="240" spans="1:1" x14ac:dyDescent="0.25">
      <c r="A240" s="5"/>
    </row>
    <row r="241" spans="1:1" x14ac:dyDescent="0.25">
      <c r="A241" s="5"/>
    </row>
    <row r="242" spans="1:1" x14ac:dyDescent="0.25">
      <c r="A242" s="5"/>
    </row>
    <row r="243" spans="1:1" x14ac:dyDescent="0.25">
      <c r="A243" s="5"/>
    </row>
    <row r="244" spans="1:1" x14ac:dyDescent="0.25">
      <c r="A244" s="5"/>
    </row>
    <row r="245" spans="1:1" x14ac:dyDescent="0.25">
      <c r="A245" s="5"/>
    </row>
    <row r="246" spans="1:1" x14ac:dyDescent="0.25">
      <c r="A246" s="5"/>
    </row>
    <row r="247" spans="1:1" x14ac:dyDescent="0.25">
      <c r="A247" s="5"/>
    </row>
    <row r="248" spans="1:1" x14ac:dyDescent="0.25">
      <c r="A248" s="5"/>
    </row>
    <row r="249" spans="1:1" x14ac:dyDescent="0.25">
      <c r="A249" s="5"/>
    </row>
    <row r="250" spans="1:1" x14ac:dyDescent="0.25">
      <c r="A250" s="5"/>
    </row>
    <row r="251" spans="1:1" x14ac:dyDescent="0.25">
      <c r="A251" s="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85512-851E-4309-B3F5-875E99C3DE5E}">
  <dimension ref="A1:H131"/>
  <sheetViews>
    <sheetView showGridLines="0" tabSelected="1" workbookViewId="0">
      <selection activeCell="R31" sqref="R31"/>
    </sheetView>
  </sheetViews>
  <sheetFormatPr defaultRowHeight="15" x14ac:dyDescent="0.25"/>
  <cols>
    <col min="1" max="1" width="8.7109375" bestFit="1" customWidth="1"/>
    <col min="2" max="2" width="10.140625" bestFit="1" customWidth="1"/>
    <col min="5" max="5" width="26.42578125" bestFit="1" customWidth="1"/>
  </cols>
  <sheetData>
    <row r="1" spans="1:8" ht="21" thickTop="1" thickBot="1" x14ac:dyDescent="0.3">
      <c r="A1" s="1" t="s">
        <v>15</v>
      </c>
      <c r="B1" s="1" t="s">
        <v>16</v>
      </c>
      <c r="H1" s="11"/>
    </row>
    <row r="2" spans="1:8" ht="15.75" thickTop="1" x14ac:dyDescent="0.25">
      <c r="A2" s="13">
        <v>31.143836717690618</v>
      </c>
      <c r="B2" s="4">
        <v>1</v>
      </c>
    </row>
    <row r="3" spans="1:8" x14ac:dyDescent="0.25">
      <c r="A3" s="13">
        <v>32.45575507653593</v>
      </c>
      <c r="B3" s="4">
        <v>2</v>
      </c>
    </row>
    <row r="4" spans="1:8" x14ac:dyDescent="0.25">
      <c r="A4" s="4">
        <v>33</v>
      </c>
      <c r="B4" s="4">
        <v>3</v>
      </c>
    </row>
    <row r="5" spans="1:8" x14ac:dyDescent="0.25">
      <c r="A5" s="13">
        <v>33.511918358845314</v>
      </c>
      <c r="B5" s="4">
        <v>4</v>
      </c>
    </row>
    <row r="6" spans="1:8" x14ac:dyDescent="0.25">
      <c r="A6" s="13">
        <v>33.511918358845314</v>
      </c>
      <c r="B6" s="4">
        <v>5</v>
      </c>
    </row>
    <row r="7" spans="1:8" x14ac:dyDescent="0.25">
      <c r="A7" s="4">
        <v>34</v>
      </c>
      <c r="B7" s="4">
        <v>6</v>
      </c>
    </row>
    <row r="8" spans="1:8" ht="15.75" thickBot="1" x14ac:dyDescent="0.3">
      <c r="A8" s="13">
        <v>34.551510153071852</v>
      </c>
      <c r="B8" s="4">
        <v>7</v>
      </c>
    </row>
    <row r="9" spans="1:8" ht="18" thickTop="1" thickBot="1" x14ac:dyDescent="0.3">
      <c r="A9" s="13">
        <v>34.687673435381235</v>
      </c>
      <c r="B9" s="4">
        <v>8</v>
      </c>
      <c r="E9" s="14" t="s">
        <v>20</v>
      </c>
    </row>
    <row r="10" spans="1:8" ht="15.75" thickTop="1" x14ac:dyDescent="0.25">
      <c r="A10" s="13">
        <v>34.823836717690618</v>
      </c>
      <c r="B10" s="4">
        <v>9</v>
      </c>
      <c r="E10" s="13">
        <f>_xlfn.FORECAST.LINEAR(160,A2:A131,B2:B131)</f>
        <v>47.16086321678781</v>
      </c>
    </row>
    <row r="11" spans="1:8" x14ac:dyDescent="0.25">
      <c r="A11" s="4">
        <v>35</v>
      </c>
      <c r="B11" s="4">
        <v>10</v>
      </c>
    </row>
    <row r="12" spans="1:8" x14ac:dyDescent="0.25">
      <c r="A12" s="13">
        <v>35.215755076535928</v>
      </c>
      <c r="B12" s="4">
        <v>11</v>
      </c>
    </row>
    <row r="13" spans="1:8" x14ac:dyDescent="0.25">
      <c r="A13" s="13">
        <v>35.60767343538123</v>
      </c>
      <c r="B13" s="4">
        <v>12</v>
      </c>
    </row>
    <row r="14" spans="1:8" x14ac:dyDescent="0.25">
      <c r="A14" s="13">
        <v>35.60767343538123</v>
      </c>
      <c r="B14" s="4">
        <v>13</v>
      </c>
    </row>
    <row r="15" spans="1:8" x14ac:dyDescent="0.25">
      <c r="A15" s="13">
        <v>35.74383671769062</v>
      </c>
      <c r="B15" s="4">
        <v>14</v>
      </c>
    </row>
    <row r="16" spans="1:8" x14ac:dyDescent="0.25">
      <c r="A16" s="13">
        <v>35.74383671769062</v>
      </c>
      <c r="B16" s="4">
        <v>15</v>
      </c>
    </row>
    <row r="17" spans="1:2" x14ac:dyDescent="0.25">
      <c r="A17" s="13">
        <v>35.863428511917164</v>
      </c>
      <c r="B17" s="4">
        <v>16</v>
      </c>
    </row>
    <row r="18" spans="1:2" x14ac:dyDescent="0.25">
      <c r="A18" s="4">
        <v>36</v>
      </c>
      <c r="B18" s="4">
        <v>17</v>
      </c>
    </row>
    <row r="19" spans="1:2" x14ac:dyDescent="0.25">
      <c r="A19" s="4">
        <v>36</v>
      </c>
      <c r="B19" s="4">
        <v>18</v>
      </c>
    </row>
    <row r="20" spans="1:2" x14ac:dyDescent="0.25">
      <c r="A20" s="4">
        <v>36</v>
      </c>
      <c r="B20" s="4">
        <v>19</v>
      </c>
    </row>
    <row r="21" spans="1:2" x14ac:dyDescent="0.25">
      <c r="A21" s="4">
        <v>36</v>
      </c>
      <c r="B21" s="4">
        <v>20</v>
      </c>
    </row>
    <row r="22" spans="1:2" x14ac:dyDescent="0.25">
      <c r="A22" s="4">
        <v>37</v>
      </c>
      <c r="B22" s="4">
        <v>21</v>
      </c>
    </row>
    <row r="23" spans="1:2" x14ac:dyDescent="0.25">
      <c r="A23" s="4">
        <v>37</v>
      </c>
      <c r="B23" s="4">
        <v>22</v>
      </c>
    </row>
    <row r="24" spans="1:2" x14ac:dyDescent="0.25">
      <c r="A24" s="4">
        <v>37</v>
      </c>
      <c r="B24" s="4">
        <v>23</v>
      </c>
    </row>
    <row r="25" spans="1:2" x14ac:dyDescent="0.25">
      <c r="A25" s="4">
        <v>37</v>
      </c>
      <c r="B25" s="4">
        <v>24</v>
      </c>
    </row>
    <row r="26" spans="1:2" x14ac:dyDescent="0.25">
      <c r="A26" s="13">
        <v>37.31151015307185</v>
      </c>
      <c r="B26" s="4">
        <v>25</v>
      </c>
    </row>
    <row r="27" spans="1:2" x14ac:dyDescent="0.25">
      <c r="A27" s="13">
        <v>37.31151015307185</v>
      </c>
      <c r="B27" s="4">
        <v>26</v>
      </c>
    </row>
    <row r="28" spans="1:2" x14ac:dyDescent="0.25">
      <c r="A28" s="13">
        <v>37.447673435381233</v>
      </c>
      <c r="B28" s="4">
        <v>27</v>
      </c>
    </row>
    <row r="29" spans="1:2" x14ac:dyDescent="0.25">
      <c r="A29" s="13">
        <v>37.447673435381233</v>
      </c>
      <c r="B29" s="4">
        <v>28</v>
      </c>
    </row>
    <row r="30" spans="1:2" x14ac:dyDescent="0.25">
      <c r="A30" s="13">
        <v>37.583836717690623</v>
      </c>
      <c r="B30" s="4">
        <v>29</v>
      </c>
    </row>
    <row r="31" spans="1:2" x14ac:dyDescent="0.25">
      <c r="A31" s="13">
        <v>37.70342851191716</v>
      </c>
      <c r="B31" s="4">
        <v>30</v>
      </c>
    </row>
    <row r="32" spans="1:2" x14ac:dyDescent="0.25">
      <c r="A32" s="13">
        <v>37.839591794226543</v>
      </c>
      <c r="B32" s="4">
        <v>31</v>
      </c>
    </row>
    <row r="33" spans="1:2" x14ac:dyDescent="0.25">
      <c r="A33" s="13">
        <v>37.975755076535933</v>
      </c>
      <c r="B33" s="4">
        <v>32</v>
      </c>
    </row>
    <row r="34" spans="1:2" x14ac:dyDescent="0.25">
      <c r="A34" s="13">
        <v>37.975755076535933</v>
      </c>
      <c r="B34" s="4">
        <v>33</v>
      </c>
    </row>
    <row r="35" spans="1:2" x14ac:dyDescent="0.25">
      <c r="A35" s="4">
        <v>38</v>
      </c>
      <c r="B35" s="4">
        <v>34</v>
      </c>
    </row>
    <row r="36" spans="1:2" x14ac:dyDescent="0.25">
      <c r="A36" s="4">
        <v>38</v>
      </c>
      <c r="B36" s="4">
        <v>35</v>
      </c>
    </row>
    <row r="37" spans="1:2" x14ac:dyDescent="0.25">
      <c r="A37" s="4">
        <v>38</v>
      </c>
      <c r="B37" s="4">
        <v>36</v>
      </c>
    </row>
    <row r="38" spans="1:2" x14ac:dyDescent="0.25">
      <c r="A38" s="4">
        <v>38</v>
      </c>
      <c r="B38" s="4">
        <v>37</v>
      </c>
    </row>
    <row r="39" spans="1:2" x14ac:dyDescent="0.25">
      <c r="A39" s="4">
        <v>38</v>
      </c>
      <c r="B39" s="4">
        <v>38</v>
      </c>
    </row>
    <row r="40" spans="1:2" x14ac:dyDescent="0.25">
      <c r="A40" s="13">
        <v>38.111918358845308</v>
      </c>
      <c r="B40" s="4">
        <v>39</v>
      </c>
    </row>
    <row r="41" spans="1:2" x14ac:dyDescent="0.25">
      <c r="A41" s="13">
        <v>38.231510153071852</v>
      </c>
      <c r="B41" s="4">
        <v>40</v>
      </c>
    </row>
    <row r="42" spans="1:2" x14ac:dyDescent="0.25">
      <c r="A42" s="13">
        <v>38.367673435381235</v>
      </c>
      <c r="B42" s="4">
        <v>41</v>
      </c>
    </row>
    <row r="43" spans="1:2" x14ac:dyDescent="0.25">
      <c r="A43" s="13">
        <v>38.367673435381235</v>
      </c>
      <c r="B43" s="4">
        <v>42</v>
      </c>
    </row>
    <row r="44" spans="1:2" x14ac:dyDescent="0.25">
      <c r="A44" s="13">
        <v>38.367673435381235</v>
      </c>
      <c r="B44" s="4">
        <v>43</v>
      </c>
    </row>
    <row r="45" spans="1:2" x14ac:dyDescent="0.25">
      <c r="A45" s="13">
        <v>38.367673435381235</v>
      </c>
      <c r="B45" s="4">
        <v>44</v>
      </c>
    </row>
    <row r="46" spans="1:2" x14ac:dyDescent="0.25">
      <c r="A46" s="13">
        <v>38.503836717690618</v>
      </c>
      <c r="B46" s="4">
        <v>45</v>
      </c>
    </row>
    <row r="47" spans="1:2" x14ac:dyDescent="0.25">
      <c r="A47" s="13">
        <v>38.623428511917162</v>
      </c>
      <c r="B47" s="4">
        <v>46</v>
      </c>
    </row>
    <row r="48" spans="1:2" x14ac:dyDescent="0.25">
      <c r="A48" s="13">
        <v>38.759591794226544</v>
      </c>
      <c r="B48" s="4">
        <v>47</v>
      </c>
    </row>
    <row r="49" spans="1:2" x14ac:dyDescent="0.25">
      <c r="A49" s="13">
        <v>38.759591794226544</v>
      </c>
      <c r="B49" s="4">
        <v>48</v>
      </c>
    </row>
    <row r="50" spans="1:2" x14ac:dyDescent="0.25">
      <c r="A50" s="13">
        <v>38.895755076535927</v>
      </c>
      <c r="B50" s="4">
        <v>49</v>
      </c>
    </row>
    <row r="51" spans="1:2" x14ac:dyDescent="0.25">
      <c r="A51" s="4">
        <v>39</v>
      </c>
      <c r="B51" s="4">
        <v>50</v>
      </c>
    </row>
    <row r="52" spans="1:2" x14ac:dyDescent="0.25">
      <c r="A52" s="4">
        <v>39</v>
      </c>
      <c r="B52" s="4">
        <v>51</v>
      </c>
    </row>
    <row r="53" spans="1:2" x14ac:dyDescent="0.25">
      <c r="A53" s="4">
        <v>39</v>
      </c>
      <c r="B53" s="4">
        <v>52</v>
      </c>
    </row>
    <row r="54" spans="1:2" x14ac:dyDescent="0.25">
      <c r="A54" s="4">
        <v>39</v>
      </c>
      <c r="B54" s="4">
        <v>53</v>
      </c>
    </row>
    <row r="55" spans="1:2" x14ac:dyDescent="0.25">
      <c r="A55" s="4">
        <v>39</v>
      </c>
      <c r="B55" s="4">
        <v>54</v>
      </c>
    </row>
    <row r="56" spans="1:2" x14ac:dyDescent="0.25">
      <c r="A56" s="13">
        <v>39.151510153071854</v>
      </c>
      <c r="B56" s="4">
        <v>55</v>
      </c>
    </row>
    <row r="57" spans="1:2" x14ac:dyDescent="0.25">
      <c r="A57" s="13">
        <v>39.151510153071854</v>
      </c>
      <c r="B57" s="4">
        <v>56</v>
      </c>
    </row>
    <row r="58" spans="1:2" x14ac:dyDescent="0.25">
      <c r="A58" s="13">
        <v>39.151510153071854</v>
      </c>
      <c r="B58" s="4">
        <v>57</v>
      </c>
    </row>
    <row r="59" spans="1:2" x14ac:dyDescent="0.25">
      <c r="A59" s="13">
        <v>39.423836717690619</v>
      </c>
      <c r="B59" s="4">
        <v>58</v>
      </c>
    </row>
    <row r="60" spans="1:2" x14ac:dyDescent="0.25">
      <c r="A60" s="13">
        <v>39.423836717690619</v>
      </c>
      <c r="B60" s="4">
        <v>59</v>
      </c>
    </row>
    <row r="61" spans="1:2" x14ac:dyDescent="0.25">
      <c r="A61" s="13">
        <v>39.543428511917163</v>
      </c>
      <c r="B61" s="4">
        <v>60</v>
      </c>
    </row>
    <row r="62" spans="1:2" x14ac:dyDescent="0.25">
      <c r="A62" s="13">
        <v>39.543428511917163</v>
      </c>
      <c r="B62" s="4">
        <v>61</v>
      </c>
    </row>
    <row r="63" spans="1:2" x14ac:dyDescent="0.25">
      <c r="A63" s="13">
        <v>39.679591794226539</v>
      </c>
      <c r="B63" s="4">
        <v>62</v>
      </c>
    </row>
    <row r="64" spans="1:2" x14ac:dyDescent="0.25">
      <c r="A64" s="13">
        <v>39.679591794226539</v>
      </c>
      <c r="B64" s="4">
        <v>63</v>
      </c>
    </row>
    <row r="65" spans="1:2" x14ac:dyDescent="0.25">
      <c r="A65" s="13">
        <v>39.679591794226539</v>
      </c>
      <c r="B65" s="4">
        <v>64</v>
      </c>
    </row>
    <row r="66" spans="1:2" x14ac:dyDescent="0.25">
      <c r="A66" s="4">
        <v>40</v>
      </c>
      <c r="B66" s="4">
        <v>65</v>
      </c>
    </row>
    <row r="67" spans="1:2" x14ac:dyDescent="0.25">
      <c r="A67" s="4">
        <v>40</v>
      </c>
      <c r="B67" s="4">
        <v>66</v>
      </c>
    </row>
    <row r="68" spans="1:2" x14ac:dyDescent="0.25">
      <c r="A68" s="4">
        <v>40</v>
      </c>
      <c r="B68" s="4">
        <v>67</v>
      </c>
    </row>
    <row r="69" spans="1:2" x14ac:dyDescent="0.25">
      <c r="A69" s="4">
        <v>40</v>
      </c>
      <c r="B69" s="4">
        <v>68</v>
      </c>
    </row>
    <row r="70" spans="1:2" x14ac:dyDescent="0.25">
      <c r="A70" s="4">
        <v>40</v>
      </c>
      <c r="B70" s="4">
        <v>69</v>
      </c>
    </row>
    <row r="71" spans="1:2" x14ac:dyDescent="0.25">
      <c r="A71" s="4">
        <v>40</v>
      </c>
      <c r="B71" s="4">
        <v>70</v>
      </c>
    </row>
    <row r="72" spans="1:2" x14ac:dyDescent="0.25">
      <c r="A72" s="4">
        <v>40</v>
      </c>
      <c r="B72" s="4">
        <v>71</v>
      </c>
    </row>
    <row r="73" spans="1:2" x14ac:dyDescent="0.25">
      <c r="A73" s="4">
        <v>40</v>
      </c>
      <c r="B73" s="4">
        <v>72</v>
      </c>
    </row>
    <row r="74" spans="1:2" x14ac:dyDescent="0.25">
      <c r="A74" s="4">
        <v>40</v>
      </c>
      <c r="B74" s="4">
        <v>73</v>
      </c>
    </row>
    <row r="75" spans="1:2" x14ac:dyDescent="0.25">
      <c r="A75" s="4">
        <v>40</v>
      </c>
      <c r="B75" s="4">
        <v>74</v>
      </c>
    </row>
    <row r="76" spans="1:2" x14ac:dyDescent="0.25">
      <c r="A76" s="4">
        <v>40</v>
      </c>
      <c r="B76" s="4">
        <v>75</v>
      </c>
    </row>
    <row r="77" spans="1:2" x14ac:dyDescent="0.25">
      <c r="A77" s="4">
        <v>40</v>
      </c>
      <c r="B77" s="4">
        <v>76</v>
      </c>
    </row>
    <row r="78" spans="1:2" x14ac:dyDescent="0.25">
      <c r="A78" s="4">
        <v>40</v>
      </c>
      <c r="B78" s="4">
        <v>77</v>
      </c>
    </row>
    <row r="79" spans="1:2" x14ac:dyDescent="0.25">
      <c r="A79" s="4">
        <v>40</v>
      </c>
      <c r="B79" s="4">
        <v>78</v>
      </c>
    </row>
    <row r="80" spans="1:2" x14ac:dyDescent="0.25">
      <c r="A80" s="13">
        <v>40.071510153071848</v>
      </c>
      <c r="B80" s="4">
        <v>79</v>
      </c>
    </row>
    <row r="81" spans="1:2" x14ac:dyDescent="0.25">
      <c r="A81" s="13">
        <v>40.207673435381231</v>
      </c>
      <c r="B81" s="4">
        <v>80</v>
      </c>
    </row>
    <row r="82" spans="1:2" x14ac:dyDescent="0.25">
      <c r="A82" s="13">
        <v>40.207673435381231</v>
      </c>
      <c r="B82" s="4">
        <v>81</v>
      </c>
    </row>
    <row r="83" spans="1:2" x14ac:dyDescent="0.25">
      <c r="A83" s="13">
        <v>40.207673435381231</v>
      </c>
      <c r="B83" s="4">
        <v>82</v>
      </c>
    </row>
    <row r="84" spans="1:2" x14ac:dyDescent="0.25">
      <c r="A84" s="13">
        <v>40.463428511917158</v>
      </c>
      <c r="B84" s="4">
        <v>83</v>
      </c>
    </row>
    <row r="85" spans="1:2" x14ac:dyDescent="0.25">
      <c r="A85" s="13">
        <v>40.463428511917158</v>
      </c>
      <c r="B85" s="4">
        <v>84</v>
      </c>
    </row>
    <row r="86" spans="1:2" x14ac:dyDescent="0.25">
      <c r="A86" s="13">
        <v>40.599591794226541</v>
      </c>
      <c r="B86" s="4">
        <v>85</v>
      </c>
    </row>
    <row r="87" spans="1:2" x14ac:dyDescent="0.25">
      <c r="A87" s="13">
        <v>40.871918358845313</v>
      </c>
      <c r="B87" s="4">
        <v>86</v>
      </c>
    </row>
    <row r="88" spans="1:2" x14ac:dyDescent="0.25">
      <c r="A88" s="13">
        <v>40.99151015307185</v>
      </c>
      <c r="B88" s="4">
        <v>87</v>
      </c>
    </row>
    <row r="89" spans="1:2" x14ac:dyDescent="0.25">
      <c r="A89" s="13">
        <v>40.99151015307185</v>
      </c>
      <c r="B89" s="4">
        <v>88</v>
      </c>
    </row>
    <row r="90" spans="1:2" x14ac:dyDescent="0.25">
      <c r="A90" s="4">
        <v>41</v>
      </c>
      <c r="B90" s="4">
        <v>89</v>
      </c>
    </row>
    <row r="91" spans="1:2" x14ac:dyDescent="0.25">
      <c r="A91" s="4">
        <v>41</v>
      </c>
      <c r="B91" s="4">
        <v>90</v>
      </c>
    </row>
    <row r="92" spans="1:2" x14ac:dyDescent="0.25">
      <c r="A92" s="4">
        <v>41</v>
      </c>
      <c r="B92" s="4">
        <v>91</v>
      </c>
    </row>
    <row r="93" spans="1:2" x14ac:dyDescent="0.25">
      <c r="A93" s="4">
        <v>41</v>
      </c>
      <c r="B93" s="4">
        <v>92</v>
      </c>
    </row>
    <row r="94" spans="1:2" x14ac:dyDescent="0.25">
      <c r="A94" s="4">
        <v>41</v>
      </c>
      <c r="B94" s="4">
        <v>93</v>
      </c>
    </row>
    <row r="95" spans="1:2" x14ac:dyDescent="0.25">
      <c r="A95" s="4">
        <v>41</v>
      </c>
      <c r="B95" s="4">
        <v>94</v>
      </c>
    </row>
    <row r="96" spans="1:2" x14ac:dyDescent="0.25">
      <c r="A96" s="4">
        <v>41</v>
      </c>
      <c r="B96" s="4">
        <v>95</v>
      </c>
    </row>
    <row r="97" spans="1:2" x14ac:dyDescent="0.25">
      <c r="A97" s="4">
        <v>41</v>
      </c>
      <c r="B97" s="4">
        <v>96</v>
      </c>
    </row>
    <row r="98" spans="1:2" x14ac:dyDescent="0.25">
      <c r="A98" s="4">
        <v>41</v>
      </c>
      <c r="B98" s="4">
        <v>97</v>
      </c>
    </row>
    <row r="99" spans="1:2" x14ac:dyDescent="0.25">
      <c r="A99" s="13">
        <v>41.263836717690623</v>
      </c>
      <c r="B99" s="4">
        <v>98</v>
      </c>
    </row>
    <row r="100" spans="1:2" x14ac:dyDescent="0.25">
      <c r="A100" s="13">
        <v>41.519591794226542</v>
      </c>
      <c r="B100" s="4">
        <v>99</v>
      </c>
    </row>
    <row r="101" spans="1:2" x14ac:dyDescent="0.25">
      <c r="A101" s="13">
        <v>41.911510153071852</v>
      </c>
      <c r="B101" s="4">
        <v>100</v>
      </c>
    </row>
    <row r="102" spans="1:2" x14ac:dyDescent="0.25">
      <c r="A102" s="4">
        <v>42</v>
      </c>
      <c r="B102" s="4">
        <v>101</v>
      </c>
    </row>
    <row r="103" spans="1:2" x14ac:dyDescent="0.25">
      <c r="A103" s="4">
        <v>42</v>
      </c>
      <c r="B103" s="4">
        <v>102</v>
      </c>
    </row>
    <row r="104" spans="1:2" x14ac:dyDescent="0.25">
      <c r="A104" s="4">
        <v>42</v>
      </c>
      <c r="B104" s="4">
        <v>103</v>
      </c>
    </row>
    <row r="105" spans="1:2" x14ac:dyDescent="0.25">
      <c r="A105" s="4">
        <v>42</v>
      </c>
      <c r="B105" s="4">
        <v>104</v>
      </c>
    </row>
    <row r="106" spans="1:2" x14ac:dyDescent="0.25">
      <c r="A106" s="4">
        <v>42</v>
      </c>
      <c r="B106" s="4">
        <v>105</v>
      </c>
    </row>
    <row r="107" spans="1:2" x14ac:dyDescent="0.25">
      <c r="A107" s="4">
        <v>42</v>
      </c>
      <c r="B107" s="4">
        <v>106</v>
      </c>
    </row>
    <row r="108" spans="1:2" x14ac:dyDescent="0.25">
      <c r="A108" s="4">
        <v>42</v>
      </c>
      <c r="B108" s="4">
        <v>107</v>
      </c>
    </row>
    <row r="109" spans="1:2" x14ac:dyDescent="0.25">
      <c r="A109" s="4">
        <v>42</v>
      </c>
      <c r="B109" s="4">
        <v>108</v>
      </c>
    </row>
    <row r="110" spans="1:2" x14ac:dyDescent="0.25">
      <c r="A110" s="13">
        <v>42.303428511917161</v>
      </c>
      <c r="B110" s="4">
        <v>109</v>
      </c>
    </row>
    <row r="111" spans="1:2" x14ac:dyDescent="0.25">
      <c r="A111" s="13">
        <v>42.439591794226544</v>
      </c>
      <c r="B111" s="4">
        <v>110</v>
      </c>
    </row>
    <row r="112" spans="1:2" x14ac:dyDescent="0.25">
      <c r="A112" s="4">
        <v>43</v>
      </c>
      <c r="B112" s="4">
        <v>111</v>
      </c>
    </row>
    <row r="113" spans="1:2" x14ac:dyDescent="0.25">
      <c r="A113" s="4">
        <v>43</v>
      </c>
      <c r="B113" s="4">
        <v>112</v>
      </c>
    </row>
    <row r="114" spans="1:2" x14ac:dyDescent="0.25">
      <c r="A114" s="4">
        <v>43</v>
      </c>
      <c r="B114" s="4">
        <v>113</v>
      </c>
    </row>
    <row r="115" spans="1:2" x14ac:dyDescent="0.25">
      <c r="A115" s="13">
        <v>43.359591794226539</v>
      </c>
      <c r="B115" s="4">
        <v>114</v>
      </c>
    </row>
    <row r="116" spans="1:2" x14ac:dyDescent="0.25">
      <c r="A116" s="13">
        <v>43.887673435381231</v>
      </c>
      <c r="B116" s="4">
        <v>115</v>
      </c>
    </row>
    <row r="117" spans="1:2" x14ac:dyDescent="0.25">
      <c r="A117" s="4">
        <v>44</v>
      </c>
      <c r="B117" s="4">
        <v>116</v>
      </c>
    </row>
    <row r="118" spans="1:2" x14ac:dyDescent="0.25">
      <c r="A118" s="4">
        <v>44</v>
      </c>
      <c r="B118" s="4">
        <v>117</v>
      </c>
    </row>
    <row r="119" spans="1:2" x14ac:dyDescent="0.25">
      <c r="A119" s="4">
        <v>44</v>
      </c>
      <c r="B119" s="4">
        <v>118</v>
      </c>
    </row>
    <row r="120" spans="1:2" x14ac:dyDescent="0.25">
      <c r="A120" s="13">
        <v>44.143428511917158</v>
      </c>
      <c r="B120" s="4">
        <v>119</v>
      </c>
    </row>
    <row r="121" spans="1:2" x14ac:dyDescent="0.25">
      <c r="A121" s="13">
        <v>44.143428511917158</v>
      </c>
      <c r="B121" s="4">
        <v>120</v>
      </c>
    </row>
    <row r="122" spans="1:2" x14ac:dyDescent="0.25">
      <c r="A122" s="13">
        <v>44.27959179422654</v>
      </c>
      <c r="B122" s="4">
        <v>121</v>
      </c>
    </row>
    <row r="123" spans="1:2" x14ac:dyDescent="0.25">
      <c r="A123" s="13">
        <v>44.27959179422654</v>
      </c>
      <c r="B123" s="4">
        <v>122</v>
      </c>
    </row>
    <row r="124" spans="1:2" x14ac:dyDescent="0.25">
      <c r="A124" s="4">
        <v>45</v>
      </c>
      <c r="B124" s="4">
        <v>123</v>
      </c>
    </row>
    <row r="125" spans="1:2" x14ac:dyDescent="0.25">
      <c r="A125" s="4">
        <v>45</v>
      </c>
      <c r="B125" s="4">
        <v>124</v>
      </c>
    </row>
    <row r="126" spans="1:2" x14ac:dyDescent="0.25">
      <c r="A126" s="4">
        <v>45</v>
      </c>
      <c r="B126" s="4">
        <v>125</v>
      </c>
    </row>
    <row r="127" spans="1:2" x14ac:dyDescent="0.25">
      <c r="A127" s="13">
        <v>45.727673435381234</v>
      </c>
      <c r="B127" s="4">
        <v>126</v>
      </c>
    </row>
    <row r="128" spans="1:2" x14ac:dyDescent="0.25">
      <c r="A128" s="4">
        <v>46</v>
      </c>
      <c r="B128" s="4">
        <v>127</v>
      </c>
    </row>
    <row r="129" spans="1:2" x14ac:dyDescent="0.25">
      <c r="A129" s="4">
        <v>46</v>
      </c>
      <c r="B129" s="4">
        <v>128</v>
      </c>
    </row>
    <row r="130" spans="1:2" x14ac:dyDescent="0.25">
      <c r="A130" s="4">
        <v>46</v>
      </c>
      <c r="B130" s="4">
        <v>129</v>
      </c>
    </row>
    <row r="131" spans="1:2" x14ac:dyDescent="0.25">
      <c r="A131" s="4">
        <v>48</v>
      </c>
      <c r="B131" s="4">
        <v>130</v>
      </c>
    </row>
  </sheetData>
  <sortState xmlns:xlrd2="http://schemas.microsoft.com/office/spreadsheetml/2017/richdata2" ref="A2:B131">
    <sortCondition ref="A1:A13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Parameters</vt:lpstr>
      <vt:lpstr>Data</vt:lpstr>
      <vt:lpstr>Sample</vt:lpstr>
      <vt:lpstr>Statistical insight</vt:lpstr>
      <vt:lpstr>(Un)correlated variables</vt:lpstr>
      <vt:lpstr>Linear 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IZZO Massimiliano (1° M.llo)</dc:creator>
  <cp:lastModifiedBy>massimiliano izzo</cp:lastModifiedBy>
  <cp:lastPrinted>2024-08-06T08:19:18Z</cp:lastPrinted>
  <dcterms:created xsi:type="dcterms:W3CDTF">2024-08-06T07:50:30Z</dcterms:created>
  <dcterms:modified xsi:type="dcterms:W3CDTF">2024-08-08T12:32:08Z</dcterms:modified>
</cp:coreProperties>
</file>